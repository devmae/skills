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f18b59f9a94c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신고요약" sheetId="1" r:id="Rfcabc8bc720b45fa"/>
    <x:sheet xmlns:r="http://schemas.openxmlformats.org/officeDocument/2006/relationships" name="국내매출" sheetId="2" r:id="R733f8492d93f4f5b"/>
    <x:sheet xmlns:r="http://schemas.openxmlformats.org/officeDocument/2006/relationships" name="외화매출" sheetId="3" r:id="R551d342de89646eb"/>
    <x:sheet xmlns:r="http://schemas.openxmlformats.org/officeDocument/2006/relationships" name="매입세액" sheetId="4" r:id="R1a3264f836774d67"/>
    <x:sheet xmlns:r="http://schemas.openxmlformats.org/officeDocument/2006/relationships" name="환율" sheetId="5" r:id="R898236e55f7f40b9"/>
    <x:sheet xmlns:r="http://schemas.openxmlformats.org/officeDocument/2006/relationships" name="근거·체크" sheetId="6" r:id="R48e13054e78443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&quot;원&quot;;[Red]-#,##0&quot;원&quot;;0&quot;원&quot;"/>
    <x:numFmt numFmtId="201" formatCode="yyyy-mm-dd"/>
    <x:numFmt numFmtId="202" formatCode="#,##0;[Red]-#,##0;0"/>
    <x:numFmt numFmtId="203" formatCode="#,##0.00"/>
    <x:numFmt numFmtId="204" formatCode="0.00"/>
  </x:numFmts>
  <x:fonts count="12">
    <x:font>
      <x:sz val="11"/>
      <x:name val="Carlito"/>
    </x:font>
    <x:font>
      <x:b/>
      <x:sz val="18"/>
      <x:color rgb="FFFFFFFF"/>
      <x:name val="Carlito"/>
    </x:font>
    <x:font>
      <x:i/>
      <x:sz val="11"/>
      <x:color rgb="FF1F2937"/>
      <x:name val="Carlito"/>
    </x:font>
    <x:font>
      <x:b/>
      <x:sz val="12"/>
      <x:color rgb="FF16324F"/>
      <x:name val="Carlito"/>
    </x:font>
    <x:font>
      <x:b/>
      <x:sz val="11"/>
      <x:color rgb="FF16324F"/>
      <x:name val="Carlito"/>
    </x:font>
    <x:font>
      <x:b/>
      <x:sz val="14"/>
      <x:color rgb="FF16324F"/>
      <x:name val="Carlito"/>
    </x:font>
    <x:font>
      <x:b/>
      <x:sz val="11"/>
      <x:color rgb="FF0F766E"/>
      <x:name val="Carlito"/>
    </x:font>
    <x:font>
      <x:sz val="11"/>
      <x:color rgb="FF64748B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  <x:font>
      <x:b/>
      <x:sz val="13"/>
      <x:color rgb="FFFFFFFF"/>
      <x:name val="Carlito"/>
    </x:font>
    <x:font>
      <x:sz val="11"/>
      <x:color rgb="FF2563EB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AF7EE"/>
      </x:patternFill>
    </x:fill>
    <x:fill>
      <x:patternFill patternType="solid">
        <x:fgColor rgb="FFEAF3F8"/>
      </x:patternFill>
    </x:fill>
    <x:fill>
      <x:patternFill patternType="solid">
        <x:fgColor rgb="FFFFF7E0"/>
      </x:patternFill>
    </x:fill>
    <x:fill>
      <x:patternFill patternType="solid">
        <x:fgColor rgb="FFE6F4F1"/>
      </x:patternFill>
    </x:fill>
    <x:fill>
      <x:patternFill patternType="solid">
        <x:fgColor rgb="FFF8FAFC"/>
      </x:patternFill>
    </x:fill>
    <x:fill>
      <x:patternFill patternType="solid">
        <x:fgColor rgb="FF0F766E"/>
      </x:patternFill>
    </x:fill>
    <x:fill>
      <x:patternFill patternType="solid">
        <x:fgColor rgb="FFFDECEC"/>
      </x:patternFill>
    </x:fill>
  </x:fills>
  <x:borders count="12">
    <x:border/>
    <x:border>
      <x:left style="thin">
        <x:color rgb="FFD6E1E8"/>
      </x:left>
      <x:top style="thin">
        <x:color rgb="FFD6E1E8"/>
      </x:top>
      <x:bottom style="thin">
        <x:color rgb="FFD6E1E8"/>
      </x:bottom>
    </x:border>
    <x:border>
      <x:top style="thin">
        <x:color rgb="FFD6E1E8"/>
      </x:top>
      <x:bottom style="thin">
        <x:color rgb="FFD6E1E8"/>
      </x:bottom>
    </x:border>
    <x:border>
      <x:right style="thin">
        <x:color rgb="FFD6E1E8"/>
      </x:right>
      <x:top style="thin">
        <x:color rgb="FFD6E1E8"/>
      </x:top>
      <x:bottom style="thin">
        <x:color rgb="FFD6E1E8"/>
      </x:bottom>
    </x:border>
    <x:border>
      <x:left style="thin">
        <x:color rgb="FFD6E1E8"/>
      </x:left>
      <x:right style="thin">
        <x:color rgb="FFD6E1E8"/>
      </x:right>
      <x:top style="thin">
        <x:color rgb="FFD6E1E8"/>
      </x:top>
      <x:bottom style="thin">
        <x:color rgb="FFD6E1E8"/>
      </x:bottom>
    </x:border>
    <x:border>
      <x:left style="medium">
        <x:color rgb="FF0F766E"/>
      </x:left>
      <x:right style="medium">
        <x:color rgb="FF0F766E"/>
      </x:right>
      <x:top style="medium">
        <x:color rgb="FF0F766E"/>
      </x:top>
      <x:bottom style="medium">
        <x:color rgb="FF0F766E"/>
      </x:bottom>
    </x:border>
    <x:border>
      <x:left style="thin">
        <x:color rgb="FFD6E1E8"/>
      </x:left>
      <x:top style="thin">
        <x:color rgb="FFD6E1E8"/>
      </x:top>
    </x:border>
    <x:border>
      <x:top style="thin">
        <x:color rgb="FFD6E1E8"/>
      </x:top>
    </x:border>
    <x:border>
      <x:right style="thin">
        <x:color rgb="FFD6E1E8"/>
      </x:right>
      <x:top style="thin">
        <x:color rgb="FFD6E1E8"/>
      </x:top>
    </x:border>
    <x:border>
      <x:left style="thin">
        <x:color rgb="FFD6E1E8"/>
      </x:left>
      <x:bottom style="thin">
        <x:color rgb="FFD6E1E8"/>
      </x:bottom>
    </x:border>
    <x:border>
      <x:bottom style="thin">
        <x:color rgb="FFD6E1E8"/>
      </x:bottom>
    </x:border>
    <x:border>
      <x:right style="thin">
        <x:color rgb="FFD6E1E8"/>
      </x:right>
      <x:bottom style="thin">
        <x:color rgb="FFD6E1E8"/>
      </x:bottom>
    </x:border>
  </x:borders>
  <x:cellStyleXfs count="1">
    <x:xf numFmtId="0" fontId="0" fillId="0" borderId="0"/>
  </x:cellStyleXfs>
  <x:cellXfs count="17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vertical="center" wrapText="1"/>
    </x:xf>
    <x:xf numFmtId="0" fontId="2" fillId="3" borderId="3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/>
    <x:xf numFmtId="0" fontId="0" fillId="4" borderId="4" xfId="0" applyNumberFormat="1" applyFont="1" applyFill="1" applyBorder="1"/>
    <x:xf numFmtId="0" fontId="4" fillId="4" borderId="4" xfId="0" applyNumberFormat="1" applyFont="1" applyFill="1" applyBorder="1"/>
    <x:xf numFmtId="200" fontId="0" fillId="0" borderId="4" xfId="0" applyNumberFormat="1" applyFont="1" applyFill="1" applyBorder="1"/>
    <x:xf numFmtId="200" fontId="0" fillId="5" borderId="4" xfId="0" applyNumberFormat="1" applyFont="1" applyFill="1" applyBorder="1"/>
    <x:xf numFmtId="200" fontId="5" fillId="5" borderId="4" xfId="0" applyNumberFormat="1" applyFont="1" applyFill="1" applyBorder="1"/>
    <x:xf numFmtId="200" fontId="5" fillId="5" borderId="5" xfId="0" applyNumberFormat="1" applyFont="1" applyFill="1" applyBorder="1"/>
    <x:xf numFmtId="0" fontId="0" fillId="3" borderId="4" xfId="0" applyNumberFormat="1" applyFont="1" applyFill="1" applyBorder="1"/>
    <x:xf numFmtId="0" fontId="6" fillId="3" borderId="4" xfId="0" applyNumberFormat="1" applyFont="1" applyFill="1" applyBorder="1"/>
    <x:xf numFmtId="0" fontId="6" fillId="3" borderId="4" xfId="0" applyNumberFormat="1" applyFont="1" applyFill="1" applyBorder="1" applyAlignment="1">
      <x:alignment horizontal="center"/>
    </x:xf>
    <x:xf numFmtId="0" fontId="0" fillId="6" borderId="4" xfId="0" applyNumberFormat="1" applyFont="1" applyFill="1" applyBorder="1"/>
    <x:xf numFmtId="0" fontId="6" fillId="6" borderId="4" xfId="0" applyNumberFormat="1" applyFont="1" applyFill="1" applyBorder="1"/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4" xfId="0" applyNumberFormat="1" applyFont="1" applyFill="1" applyBorder="1"/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4" xfId="0" applyNumberFormat="1" applyFont="1" applyFill="1" applyBorder="1"/>
    <x:xf numFmtId="0" fontId="8" fillId="8" borderId="4" xfId="0" applyNumberFormat="1" applyFont="1" applyFill="1" applyBorder="1" applyAlignment="1">
      <x:alignment wrapText="1"/>
    </x:xf>
    <x:xf numFmtId="0" fontId="8" fillId="8" borderId="4" xfId="0" applyNumberFormat="1" applyFont="1" applyFill="1" applyBorder="1" applyAlignment="1">
      <x:alignment horizontal="center" wrapText="1"/>
    </x:xf>
    <x:xf numFmtId="0" fontId="8" fillId="8" borderId="4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 applyAlignment="1">
      <x:alignment vertical="center"/>
    </x:xf>
    <x:xf numFmtId="200" fontId="0" fillId="0" borderId="4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horizontal="center" vertical="center"/>
    </x:xf>
    <x:xf numFmtId="0" fontId="0" fillId="7" borderId="4" xfId="0" applyNumberFormat="1" applyFont="1" applyFill="1" applyBorder="1" applyAlignment="1">
      <x:alignment vertical="center"/>
    </x:xf>
    <x:xf numFmtId="0" fontId="9" fillId="7" borderId="4" xfId="0" applyNumberFormat="1" applyFont="1" applyFill="1" applyBorder="1" applyAlignment="1">
      <x:alignment vertical="center"/>
    </x:xf>
    <x:xf numFmtId="0" fontId="9" fillId="7" borderId="4" xfId="0" applyNumberFormat="1" applyFont="1" applyFill="1" applyBorder="1" applyAlignment="1">
      <x:alignment vertical="center" wrapText="1"/>
    </x:xf>
    <x:xf numFmtId="0" fontId="9" fillId="7" borderId="4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5" xfId="0" applyNumberFormat="1" applyFont="1" applyFill="1" applyBorder="1"/>
    <x:xf numFmtId="0" fontId="4" fillId="5" borderId="5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vertical="center" wrapText="1"/>
    </x:xf>
    <x:xf numFmtId="0" fontId="1" fillId="2" borderId="4" xfId="0" applyNumberFormat="1" applyFont="1" applyFill="1" applyBorder="1" applyAlignment="1">
      <x:alignment horizontal="left" vertical="center"/>
    </x:xf>
    <x:xf numFmtId="0" fontId="2" fillId="3" borderId="4" xfId="0" applyNumberFormat="1" applyFont="1" applyFill="1" applyBorder="1" applyAlignment="1">
      <x:alignment vertical="center" wrapText="1"/>
    </x:xf>
    <x:xf numFmtId="0" fontId="3" fillId="4" borderId="4" xfId="0" applyNumberFormat="1" applyFont="1" applyFill="1" applyBorder="1" applyAlignment="1">
      <x:alignment vertical="center"/>
    </x:xf>
    <x:xf numFmtId="0" fontId="4" fillId="5" borderId="4" xfId="0" applyNumberFormat="1" applyFont="1" applyFill="1" applyBorder="1" applyAlignment="1">
      <x:alignment vertical="center" wrapText="1"/>
    </x:xf>
    <x:xf numFmtId="0" fontId="4" fillId="4" borderId="4" xfId="0" applyNumberFormat="1" applyFont="1" applyFill="1" applyBorder="1" applyAlignment="1">
      <x:alignment vertical="center"/>
    </x:xf>
    <x:xf numFmtId="0" fontId="6" fillId="6" borderId="4" xfId="0" applyNumberFormat="1" applyFont="1" applyFill="1" applyBorder="1" applyAlignment="1">
      <x:alignment vertical="center"/>
    </x:xf>
    <x:xf numFmtId="0" fontId="7" fillId="7" borderId="4" xfId="0" applyNumberFormat="1" applyFont="1" applyFill="1" applyBorder="1" applyAlignment="1">
      <x:alignment vertical="center"/>
    </x:xf>
    <x:xf numFmtId="200" fontId="5" fillId="5" borderId="4" xfId="0" applyNumberFormat="1" applyFont="1" applyFill="1" applyBorder="1" applyAlignment="1">
      <x:alignment vertical="center"/>
    </x:xf>
    <x:xf numFmtId="0" fontId="6" fillId="3" borderId="4" xfId="0" applyNumberFormat="1" applyFont="1" applyFill="1" applyBorder="1" applyAlignment="1">
      <x:alignment horizontal="center" vertical="center"/>
    </x:xf>
    <x:xf numFmtId="0" fontId="2" fillId="5" borderId="0" xfId="0" applyNumberFormat="1" applyFont="1" applyFill="1" applyBorder="1"/>
    <x:xf numFmtId="0" fontId="2" fillId="5" borderId="1" xfId="0" applyNumberFormat="1" applyFont="1" applyFill="1" applyBorder="1"/>
    <x:xf numFmtId="0" fontId="2" fillId="5" borderId="2" xfId="0" applyNumberFormat="1" applyFont="1" applyFill="1" applyBorder="1"/>
    <x:xf numFmtId="0" fontId="2" fillId="5" borderId="3" xfId="0" applyNumberFormat="1" applyFont="1" applyFill="1" applyBorder="1"/>
    <x:xf numFmtId="0" fontId="2" fillId="5" borderId="1" xfId="0" applyNumberFormat="1" applyFont="1" applyFill="1" applyBorder="1" applyAlignment="1">
      <x:alignment wrapText="1"/>
    </x:xf>
    <x:xf numFmtId="0" fontId="2" fillId="5" borderId="2" xfId="0" applyNumberFormat="1" applyFont="1" applyFill="1" applyBorder="1" applyAlignment="1">
      <x:alignment wrapText="1"/>
    </x:xf>
    <x:xf numFmtId="0" fontId="2" fillId="5" borderId="3" xfId="0" applyNumberFormat="1" applyFont="1" applyFill="1" applyBorder="1" applyAlignment="1">
      <x:alignment wrapText="1"/>
    </x:xf>
    <x:xf numFmtId="0" fontId="2" fillId="5" borderId="1" xfId="0" applyNumberFormat="1" applyFont="1" applyFill="1" applyBorder="1" applyAlignment="1">
      <x:alignment vertical="center" wrapText="1"/>
    </x:xf>
    <x:xf numFmtId="0" fontId="2" fillId="5" borderId="2" xfId="0" applyNumberFormat="1" applyFont="1" applyFill="1" applyBorder="1" applyAlignment="1">
      <x:alignment vertical="center" wrapText="1"/>
    </x:xf>
    <x:xf numFmtId="0" fontId="2" fillId="5" borderId="3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/>
    <x:xf numFmtId="200" fontId="4" fillId="4" borderId="4" xfId="0" applyNumberFormat="1" applyFont="1" applyFill="1" applyBorder="1"/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2" fillId="9" borderId="6" xfId="0" applyNumberFormat="1" applyFont="1" applyFill="1" applyBorder="1"/>
    <x:xf numFmtId="0" fontId="2" fillId="9" borderId="7" xfId="0" applyNumberFormat="1" applyFont="1" applyFill="1" applyBorder="1"/>
    <x:xf numFmtId="0" fontId="2" fillId="9" borderId="8" xfId="0" applyNumberFormat="1" applyFont="1" applyFill="1" applyBorder="1"/>
    <x:xf numFmtId="0" fontId="2" fillId="9" borderId="9" xfId="0" applyNumberFormat="1" applyFont="1" applyFill="1" applyBorder="1"/>
    <x:xf numFmtId="0" fontId="2" fillId="9" borderId="10" xfId="0" applyNumberFormat="1" applyFont="1" applyFill="1" applyBorder="1"/>
    <x:xf numFmtId="0" fontId="2" fillId="9" borderId="11" xfId="0" applyNumberFormat="1" applyFont="1" applyFill="1" applyBorder="1"/>
    <x:xf numFmtId="0" fontId="2" fillId="9" borderId="6" xfId="0" applyNumberFormat="1" applyFont="1" applyFill="1" applyBorder="1" applyAlignment="1">
      <x:alignment wrapText="1"/>
    </x:xf>
    <x:xf numFmtId="0" fontId="2" fillId="9" borderId="7" xfId="0" applyNumberFormat="1" applyFont="1" applyFill="1" applyBorder="1" applyAlignment="1">
      <x:alignment wrapText="1"/>
    </x:xf>
    <x:xf numFmtId="0" fontId="2" fillId="9" borderId="8" xfId="0" applyNumberFormat="1" applyFont="1" applyFill="1" applyBorder="1" applyAlignment="1">
      <x:alignment wrapText="1"/>
    </x:xf>
    <x:xf numFmtId="0" fontId="2" fillId="9" borderId="9" xfId="0" applyNumberFormat="1" applyFont="1" applyFill="1" applyBorder="1" applyAlignment="1">
      <x:alignment wrapText="1"/>
    </x:xf>
    <x:xf numFmtId="0" fontId="2" fillId="9" borderId="10" xfId="0" applyNumberFormat="1" applyFont="1" applyFill="1" applyBorder="1" applyAlignment="1">
      <x:alignment wrapText="1"/>
    </x:xf>
    <x:xf numFmtId="0" fontId="2" fillId="9" borderId="11" xfId="0" applyNumberFormat="1" applyFont="1" applyFill="1" applyBorder="1" applyAlignment="1">
      <x:alignment wrapText="1"/>
    </x:xf>
    <x:xf numFmtId="0" fontId="2" fillId="9" borderId="6" xfId="0" applyNumberFormat="1" applyFont="1" applyFill="1" applyBorder="1" applyAlignment="1">
      <x:alignment vertical="center" wrapText="1"/>
    </x:xf>
    <x:xf numFmtId="0" fontId="2" fillId="9" borderId="7" xfId="0" applyNumberFormat="1" applyFont="1" applyFill="1" applyBorder="1" applyAlignment="1">
      <x:alignment vertical="center" wrapText="1"/>
    </x:xf>
    <x:xf numFmtId="0" fontId="2" fillId="9" borderId="8" xfId="0" applyNumberFormat="1" applyFont="1" applyFill="1" applyBorder="1" applyAlignment="1">
      <x:alignment vertical="center" wrapText="1"/>
    </x:xf>
    <x:xf numFmtId="0" fontId="2" fillId="9" borderId="9" xfId="0" applyNumberFormat="1" applyFont="1" applyFill="1" applyBorder="1" applyAlignment="1">
      <x:alignment vertical="center" wrapText="1"/>
    </x:xf>
    <x:xf numFmtId="0" fontId="2" fillId="9" borderId="10" xfId="0" applyNumberFormat="1" applyFont="1" applyFill="1" applyBorder="1" applyAlignment="1">
      <x:alignment vertical="center" wrapText="1"/>
    </x:xf>
    <x:xf numFmtId="0" fontId="2" fillId="9" borderId="11" xfId="0" applyNumberFormat="1" applyFont="1" applyFill="1" applyBorder="1" applyAlignment="1">
      <x:alignment vertical="center" wrapText="1"/>
    </x:xf>
    <x:xf numFmtId="0" fontId="2" fillId="5" borderId="4" xfId="0" applyNumberFormat="1" applyFont="1" applyFill="1" applyBorder="1" applyAlignment="1">
      <x:alignment vertical="center" wrapText="1"/>
    </x:xf>
    <x:xf numFmtId="0" fontId="2" fillId="9" borderId="4" xfId="0" applyNumberFormat="1" applyFont="1" applyFill="1" applyBorder="1" applyAlignment="1">
      <x:alignment vertical="center" wrapText="1"/>
    </x:xf>
    <x:xf numFmtId="200" fontId="4" fillId="4" borderId="4" xfId="0" applyNumberFormat="1" applyFont="1" applyFill="1" applyBorder="1" applyAlignment="1">
      <x:alignment vertical="center"/>
    </x:xf>
    <x:xf numFmtId="201" fontId="0" fillId="0" borderId="4" xfId="0" applyNumberFormat="1" applyFont="1" applyFill="1" applyBorder="1" applyAlignment="1">
      <x:alignment vertical="center"/>
    </x:xf>
    <x:xf numFmtId="202" fontId="0" fillId="0" borderId="4" xfId="0" applyNumberFormat="1" applyFont="1" applyFill="1" applyBorder="1" applyAlignment="1">
      <x:alignment vertical="center"/>
    </x:xf>
    <x:xf numFmtId="203" fontId="0" fillId="0" borderId="4" xfId="0" applyNumberFormat="1" applyFont="1" applyFill="1" applyBorder="1" applyAlignment="1">
      <x:alignment vertical="center"/>
    </x:xf>
    <x:xf numFmtId="204" fontId="0" fillId="0" borderId="4" xfId="0" applyNumberFormat="1" applyFont="1" applyFill="1" applyBorder="1" applyAlignment="1">
      <x:alignment vertical="center"/>
    </x:xf>
    <x:xf numFmtId="201" fontId="0" fillId="9" borderId="4" xfId="0" applyNumberFormat="1" applyFont="1" applyFill="1" applyBorder="1" applyAlignment="1">
      <x:alignment vertical="center"/>
    </x:xf>
    <x:xf numFmtId="0" fontId="0" fillId="9" borderId="4" xfId="0" applyNumberFormat="1" applyFont="1" applyFill="1" applyBorder="1" applyAlignment="1">
      <x:alignment vertical="center"/>
    </x:xf>
    <x:xf numFmtId="204" fontId="0" fillId="9" borderId="4" xfId="0" applyNumberFormat="1" applyFont="1" applyFill="1" applyBorder="1" applyAlignment="1">
      <x:alignment vertical="center"/>
    </x:xf>
    <x:xf numFmtId="202" fontId="0" fillId="9" borderId="4" xfId="0" applyNumberFormat="1" applyFont="1" applyFill="1" applyBorder="1" applyAlignment="1">
      <x:alignment vertical="center"/>
    </x:xf>
    <x:xf numFmtId="203" fontId="0" fillId="9" borderId="4" xfId="0" applyNumberFormat="1" applyFont="1" applyFill="1" applyBorder="1" applyAlignment="1">
      <x:alignment vertical="center"/>
    </x:xf>
    <x:xf numFmtId="200" fontId="0" fillId="9" borderId="4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horizontal="right"/>
    </x:xf>
    <x:xf numFmtId="0" fontId="10" fillId="2" borderId="0" xfId="0" applyNumberFormat="1" applyFont="1" applyFill="1" applyBorder="1"/>
    <x:xf numFmtId="200" fontId="10" fillId="2" borderId="0" xfId="0" applyNumberFormat="1" applyFont="1" applyFill="1" applyBorder="1"/>
    <x:xf numFmtId="200" fontId="10" fillId="2" borderId="0" xfId="0" applyNumberFormat="1" applyFont="1" applyFill="1" applyBorder="1" applyAlignment="1">
      <x:alignment horizontal="right"/>
    </x:xf>
    <x:xf numFmtId="200" fontId="0" fillId="4" borderId="4" xfId="0" applyNumberFormat="1" applyFont="1" applyFill="1" applyBorder="1"/>
    <x:xf numFmtId="0" fontId="2" fillId="5" borderId="6" xfId="0" applyNumberFormat="1" applyFont="1" applyFill="1" applyBorder="1"/>
    <x:xf numFmtId="0" fontId="2" fillId="5" borderId="7" xfId="0" applyNumberFormat="1" applyFont="1" applyFill="1" applyBorder="1"/>
    <x:xf numFmtId="0" fontId="2" fillId="5" borderId="8" xfId="0" applyNumberFormat="1" applyFont="1" applyFill="1" applyBorder="1"/>
    <x:xf numFmtId="0" fontId="2" fillId="5" borderId="9" xfId="0" applyNumberFormat="1" applyFont="1" applyFill="1" applyBorder="1"/>
    <x:xf numFmtId="0" fontId="2" fillId="5" borderId="10" xfId="0" applyNumberFormat="1" applyFont="1" applyFill="1" applyBorder="1"/>
    <x:xf numFmtId="0" fontId="2" fillId="5" borderId="11" xfId="0" applyNumberFormat="1" applyFont="1" applyFill="1" applyBorder="1"/>
    <x:xf numFmtId="0" fontId="2" fillId="5" borderId="6" xfId="0" applyNumberFormat="1" applyFont="1" applyFill="1" applyBorder="1" applyAlignment="1">
      <x:alignment wrapText="1"/>
    </x:xf>
    <x:xf numFmtId="0" fontId="2" fillId="5" borderId="7" xfId="0" applyNumberFormat="1" applyFont="1" applyFill="1" applyBorder="1" applyAlignment="1">
      <x:alignment wrapText="1"/>
    </x:xf>
    <x:xf numFmtId="0" fontId="2" fillId="5" borderId="8" xfId="0" applyNumberFormat="1" applyFont="1" applyFill="1" applyBorder="1" applyAlignment="1">
      <x:alignment wrapText="1"/>
    </x:xf>
    <x:xf numFmtId="0" fontId="2" fillId="5" borderId="9" xfId="0" applyNumberFormat="1" applyFont="1" applyFill="1" applyBorder="1" applyAlignment="1">
      <x:alignment wrapText="1"/>
    </x:xf>
    <x:xf numFmtId="0" fontId="2" fillId="5" borderId="10" xfId="0" applyNumberFormat="1" applyFont="1" applyFill="1" applyBorder="1" applyAlignment="1">
      <x:alignment wrapText="1"/>
    </x:xf>
    <x:xf numFmtId="0" fontId="2" fillId="5" borderId="11" xfId="0" applyNumberFormat="1" applyFont="1" applyFill="1" applyBorder="1" applyAlignment="1">
      <x:alignment wrapText="1"/>
    </x:xf>
    <x:xf numFmtId="0" fontId="2" fillId="5" borderId="6" xfId="0" applyNumberFormat="1" applyFont="1" applyFill="1" applyBorder="1" applyAlignment="1">
      <x:alignment vertical="center" wrapText="1"/>
    </x:xf>
    <x:xf numFmtId="0" fontId="2" fillId="5" borderId="7" xfId="0" applyNumberFormat="1" applyFont="1" applyFill="1" applyBorder="1" applyAlignment="1">
      <x:alignment vertical="center" wrapText="1"/>
    </x:xf>
    <x:xf numFmtId="0" fontId="2" fillId="5" borderId="8" xfId="0" applyNumberFormat="1" applyFont="1" applyFill="1" applyBorder="1" applyAlignment="1">
      <x:alignment vertical="center" wrapText="1"/>
    </x:xf>
    <x:xf numFmtId="0" fontId="2" fillId="5" borderId="9" xfId="0" applyNumberFormat="1" applyFont="1" applyFill="1" applyBorder="1" applyAlignment="1">
      <x:alignment vertical="center" wrapText="1"/>
    </x:xf>
    <x:xf numFmtId="0" fontId="2" fillId="5" borderId="10" xfId="0" applyNumberFormat="1" applyFont="1" applyFill="1" applyBorder="1" applyAlignment="1">
      <x:alignment vertical="center" wrapText="1"/>
    </x:xf>
    <x:xf numFmtId="0" fontId="2" fillId="5" borderId="11" xfId="0" applyNumberFormat="1" applyFont="1" applyFill="1" applyBorder="1" applyAlignment="1">
      <x:alignment vertical="center" wrapText="1"/>
    </x:xf>
    <x:xf numFmtId="0" fontId="8" fillId="2" borderId="4" xfId="0" applyNumberFormat="1" applyFont="1" applyFill="1" applyBorder="1" applyAlignment="1">
      <x:alignment horizontal="right"/>
    </x:xf>
    <x:xf numFmtId="200" fontId="10" fillId="2" borderId="4" xfId="0" applyNumberFormat="1" applyFont="1" applyFill="1" applyBorder="1" applyAlignment="1">
      <x:alignment horizontal="right"/>
    </x:xf>
    <x:xf numFmtId="0" fontId="8" fillId="2" borderId="4" xfId="0" applyNumberFormat="1" applyFont="1" applyFill="1" applyBorder="1" applyAlignment="1">
      <x:alignment horizontal="right" vertical="center"/>
    </x:xf>
    <x:xf numFmtId="200" fontId="10" fillId="2" borderId="4" xfId="0" applyNumberFormat="1" applyFont="1" applyFill="1" applyBorder="1" applyAlignment="1">
      <x:alignment horizontal="right" vertical="center"/>
    </x:xf>
    <x:xf numFmtId="200" fontId="0" fillId="4" borderId="4" xfId="0" applyNumberFormat="1" applyFont="1" applyFill="1" applyBorder="1" applyAlignment="1">
      <x:alignment vertical="center"/>
    </x:xf>
    <x:xf numFmtId="0" fontId="0" fillId="2" borderId="4" xfId="0" applyNumberFormat="1" applyFont="1" applyFill="1" applyBorder="1" applyAlignment="1">
      <x:alignment vertical="center"/>
    </x:xf>
    <x:xf numFmtId="0" fontId="8" fillId="2" borderId="4" xfId="0" applyNumberFormat="1" applyFont="1" applyFill="1" applyBorder="1" applyAlignment="1">
      <x:alignment vertical="center"/>
    </x:xf>
    <x:xf numFmtId="202" fontId="8" fillId="2" borderId="4" xfId="0" applyNumberFormat="1" applyFont="1" applyFill="1" applyBorder="1" applyAlignment="1">
      <x:alignment vertical="center"/>
    </x:xf>
    <x:xf numFmtId="200" fontId="8" fillId="2" borderId="4" xfId="0" applyNumberFormat="1" applyFont="1" applyFill="1" applyBorder="1" applyAlignment="1">
      <x:alignment vertical="center"/>
    </x:xf>
    <x:xf numFmtId="0" fontId="0" fillId="4" borderId="4" xfId="0" applyNumberFormat="1" applyFont="1" applyFill="1" applyBorder="1" applyAlignment="1">
      <x:alignment vertical="center"/>
    </x:xf>
    <x:xf numFmtId="0" fontId="0" fillId="5" borderId="4" xfId="0" applyNumberFormat="1" applyFont="1" applyFill="1" applyBorder="1" applyAlignment="1">
      <x:alignment vertical="center"/>
    </x:xf>
    <x:xf numFmtId="0" fontId="0" fillId="5" borderId="4" xfId="0" applyNumberFormat="1" applyFont="1" applyFill="1" applyBorder="1" applyAlignment="1">
      <x:alignment horizontal="center" vertical="center"/>
    </x:xf>
    <x:xf numFmtId="0" fontId="11" fillId="0" borderId="4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vertical="center"/>
    </x:xf>
    <x:xf numFmtId="0" fontId="1" fillId="2" borderId="4" xfId="0" applyNumberFormat="1" applyFont="1" applyFill="1" applyBorder="1" applyAlignment="1">
      <x:alignment horizontal="left" vertical="center" wrapText="1"/>
    </x:xf>
    <x:xf numFmtId="0" fontId="0" fillId="0" borderId="4" xfId="0" applyNumberFormat="1" applyFont="1" applyFill="1" applyBorder="1" applyAlignment="1">
      <x:alignment vertical="center" wrapText="1"/>
    </x:xf>
    <x:xf numFmtId="0" fontId="3" fillId="4" borderId="4" xfId="0" applyNumberFormat="1" applyFont="1" applyFill="1" applyBorder="1" applyAlignment="1">
      <x:alignment vertical="center" wrapText="1"/>
    </x:xf>
    <x:xf numFmtId="0" fontId="4" fillId="4" borderId="4" xfId="0" applyNumberFormat="1" applyFont="1" applyFill="1" applyBorder="1" applyAlignment="1">
      <x:alignment vertical="center" wrapText="1"/>
    </x:xf>
    <x:xf numFmtId="200" fontId="0" fillId="0" borderId="4" xfId="0" applyNumberFormat="1" applyFont="1" applyFill="1" applyBorder="1" applyAlignment="1">
      <x:alignment vertical="center" wrapText="1"/>
    </x:xf>
    <x:xf numFmtId="0" fontId="6" fillId="6" borderId="4" xfId="0" applyNumberFormat="1" applyFont="1" applyFill="1" applyBorder="1" applyAlignment="1">
      <x:alignment vertical="center" wrapText="1"/>
    </x:xf>
    <x:xf numFmtId="0" fontId="7" fillId="7" borderId="4" xfId="0" applyNumberFormat="1" applyFont="1" applyFill="1" applyBorder="1" applyAlignment="1">
      <x:alignment vertical="center" wrapText="1"/>
    </x:xf>
    <x:xf numFmtId="200" fontId="5" fillId="5" borderId="4" xfId="0" applyNumberFormat="1" applyFont="1" applyFill="1" applyBorder="1" applyAlignment="1">
      <x:alignment vertical="center" wrapText="1"/>
    </x:xf>
    <x:xf numFmtId="0" fontId="6" fillId="3" borderId="4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 applyAlignment="1">
      <x:alignment horizontal="center" vertical="center" wrapText="1"/>
    </x:xf>
    <x:xf numFmtId="200" fontId="4" fillId="4" borderId="4" xfId="0" applyNumberFormat="1" applyFont="1" applyFill="1" applyBorder="1" applyAlignment="1">
      <x:alignment vertical="center" wrapText="1"/>
    </x:xf>
    <x:xf numFmtId="201" fontId="0" fillId="0" borderId="4" xfId="0" applyNumberFormat="1" applyFont="1" applyFill="1" applyBorder="1" applyAlignment="1">
      <x:alignment vertical="center" wrapText="1"/>
    </x:xf>
    <x:xf numFmtId="204" fontId="0" fillId="0" borderId="4" xfId="0" applyNumberFormat="1" applyFont="1" applyFill="1" applyBorder="1" applyAlignment="1">
      <x:alignment vertical="center" wrapText="1"/>
    </x:xf>
    <x:xf numFmtId="202" fontId="0" fillId="0" borderId="4" xfId="0" applyNumberFormat="1" applyFont="1" applyFill="1" applyBorder="1" applyAlignment="1">
      <x:alignment vertical="center" wrapText="1"/>
    </x:xf>
    <x:xf numFmtId="203" fontId="0" fillId="0" borderId="4" xfId="0" applyNumberFormat="1" applyFont="1" applyFill="1" applyBorder="1" applyAlignment="1">
      <x:alignment vertical="center" wrapText="1"/>
    </x:xf>
    <x:xf numFmtId="201" fontId="0" fillId="9" borderId="4" xfId="0" applyNumberFormat="1" applyFont="1" applyFill="1" applyBorder="1" applyAlignment="1">
      <x:alignment vertical="center" wrapText="1"/>
    </x:xf>
    <x:xf numFmtId="0" fontId="0" fillId="9" borderId="4" xfId="0" applyNumberFormat="1" applyFont="1" applyFill="1" applyBorder="1" applyAlignment="1">
      <x:alignment vertical="center" wrapText="1"/>
    </x:xf>
    <x:xf numFmtId="204" fontId="0" fillId="9" borderId="4" xfId="0" applyNumberFormat="1" applyFont="1" applyFill="1" applyBorder="1" applyAlignment="1">
      <x:alignment vertical="center" wrapText="1"/>
    </x:xf>
    <x:xf numFmtId="202" fontId="0" fillId="9" borderId="4" xfId="0" applyNumberFormat="1" applyFont="1" applyFill="1" applyBorder="1" applyAlignment="1">
      <x:alignment vertical="center" wrapText="1"/>
    </x:xf>
    <x:xf numFmtId="203" fontId="0" fillId="9" borderId="4" xfId="0" applyNumberFormat="1" applyFont="1" applyFill="1" applyBorder="1" applyAlignment="1">
      <x:alignment vertical="center" wrapText="1"/>
    </x:xf>
    <x:xf numFmtId="200" fontId="0" fillId="9" borderId="4" xfId="0" applyNumberFormat="1" applyFont="1" applyFill="1" applyBorder="1" applyAlignment="1">
      <x:alignment vertical="center" wrapText="1"/>
    </x:xf>
    <x:xf numFmtId="0" fontId="8" fillId="2" borderId="4" xfId="0" applyNumberFormat="1" applyFont="1" applyFill="1" applyBorder="1" applyAlignment="1">
      <x:alignment horizontal="right" vertical="center" wrapText="1"/>
    </x:xf>
    <x:xf numFmtId="200" fontId="10" fillId="2" borderId="4" xfId="0" applyNumberFormat="1" applyFont="1" applyFill="1" applyBorder="1" applyAlignment="1">
      <x:alignment horizontal="right" vertical="center" wrapText="1"/>
    </x:xf>
    <x:xf numFmtId="200" fontId="0" fillId="4" borderId="4" xfId="0" applyNumberFormat="1" applyFont="1" applyFill="1" applyBorder="1" applyAlignment="1">
      <x:alignment vertical="center" wrapText="1"/>
    </x:xf>
    <x:xf numFmtId="0" fontId="8" fillId="2" borderId="4" xfId="0" applyNumberFormat="1" applyFont="1" applyFill="1" applyBorder="1" applyAlignment="1">
      <x:alignment vertical="center" wrapText="1"/>
    </x:xf>
    <x:xf numFmtId="202" fontId="8" fillId="2" borderId="4" xfId="0" applyNumberFormat="1" applyFont="1" applyFill="1" applyBorder="1" applyAlignment="1">
      <x:alignment vertical="center" wrapText="1"/>
    </x:xf>
    <x:xf numFmtId="200" fontId="8" fillId="2" borderId="4" xfId="0" applyNumberFormat="1" applyFont="1" applyFill="1" applyBorder="1" applyAlignment="1">
      <x:alignment vertical="center" wrapText="1"/>
    </x:xf>
    <x:xf numFmtId="0" fontId="0" fillId="4" borderId="4" xfId="0" applyNumberFormat="1" applyFont="1" applyFill="1" applyBorder="1" applyAlignment="1">
      <x:alignment vertical="center" wrapText="1"/>
    </x:xf>
    <x:xf numFmtId="0" fontId="0" fillId="5" borderId="4" xfId="0" applyNumberFormat="1" applyFont="1" applyFill="1" applyBorder="1" applyAlignment="1">
      <x:alignment vertical="center" wrapText="1"/>
    </x:xf>
    <x:xf numFmtId="0" fontId="0" fillId="5" borderId="4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11" fillId="0" borderId="4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ill>
        <x:patternFill patternType="solid">
          <x:bgColor rgb="FFF8FAF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b21ec2e35241ba" /><Relationship Type="http://schemas.openxmlformats.org/officeDocument/2006/relationships/theme" Target="/xl/theme/theme1.xml" Id="R982bae1f88bf4428" /><Relationship Type="http://schemas.openxmlformats.org/officeDocument/2006/relationships/sharedStrings" Target="/xl/sharedStrings.xml" Id="Rbd6a9d88b22a4154" /><Relationship Type="http://schemas.openxmlformats.org/officeDocument/2006/relationships/worksheet" Target="/xl/worksheets/sheet1.xml" Id="Rfcabc8bc720b45fa" /><Relationship Type="http://schemas.openxmlformats.org/officeDocument/2006/relationships/worksheet" Target="/xl/worksheets/sheet2.xml" Id="R733f8492d93f4f5b" /><Relationship Type="http://schemas.openxmlformats.org/officeDocument/2006/relationships/worksheet" Target="/xl/worksheets/sheet3.xml" Id="R551d342de89646eb" /><Relationship Type="http://schemas.openxmlformats.org/officeDocument/2006/relationships/worksheet" Target="/xl/worksheets/sheet4.xml" Id="R1a3264f836774d67" /><Relationship Type="http://schemas.openxmlformats.org/officeDocument/2006/relationships/worksheet" Target="/xl/worksheets/sheet5.xml" Id="R898236e55f7f40b9" /><Relationship Type="http://schemas.openxmlformats.org/officeDocument/2006/relationships/worksheet" Target="/xl/worksheets/sheet6.xml" Id="R48e13054e78443b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1" hidden="0" customWidth="1"/>
    <x:col min="3" max="3" width="15" hidden="0" customWidth="1"/>
    <x:col min="4" max="4" width="13" hidden="0" customWidth="1"/>
    <x:col min="5" max="5" width="15" hidden="0" customWidth="1"/>
    <x:col min="6" max="6" width="38" hidden="0" customWidth="1"/>
    <x:col min="7" max="7" width="27" hidden="0" customWidth="1"/>
    <x:col min="8" max="8" width="24" hidden="0" customWidth="1"/>
  </x:cols>
  <x:sheetData>
    <x:row r="1" ht="30" customHeight="1">
      <x:c r="A1" s="144" t="str">
        <x:v>2026년 제1기 확정 부가가치세 신고 요약</x:v>
      </x:c>
      <x:c r="B1" s="144" t="str">
        <x:v>2026년 제1기 확정 부가가치세 신고 요약</x:v>
      </x:c>
      <x:c r="C1" s="144" t="str">
        <x:v>2026년 제1기 확정 부가가치세 신고 요약</x:v>
      </x:c>
      <x:c r="D1" s="144" t="str">
        <x:v>2026년 제1기 확정 부가가치세 신고 요약</x:v>
      </x:c>
      <x:c r="E1" s="144" t="str">
        <x:v>2026년 제1기 확정 부가가치세 신고 요약</x:v>
      </x:c>
      <x:c r="F1" s="144" t="str">
        <x:v>2026년 제1기 확정 부가가치세 신고 요약</x:v>
      </x:c>
      <x:c r="G1" s="144" t="str">
        <x:v>2026년 제1기 확정 부가가치세 신고 요약</x:v>
      </x:c>
      <x:c r="H1" s="144" t="str">
        <x:v>2026년 제1기 확정 부가가치세 신고 요약</x:v>
      </x:c>
    </x:row>
    <x:row r="2" ht="30" customHeight="1">
      <x:c r="A2" s="144" t="str">
        <x:v>2026년 제1기 확정 부가가치세 신고 요약</x:v>
      </x:c>
      <x:c r="B2" s="144" t="str">
        <x:v>2026년 제1기 확정 부가가치세 신고 요약</x:v>
      </x:c>
      <x:c r="C2" s="144" t="str">
        <x:v>2026년 제1기 확정 부가가치세 신고 요약</x:v>
      </x:c>
      <x:c r="D2" s="144" t="str">
        <x:v>2026년 제1기 확정 부가가치세 신고 요약</x:v>
      </x:c>
      <x:c r="E2" s="144" t="str">
        <x:v>2026년 제1기 확정 부가가치세 신고 요약</x:v>
      </x:c>
      <x:c r="F2" s="144" t="str">
        <x:v>2026년 제1기 확정 부가가치세 신고 요약</x:v>
      </x:c>
      <x:c r="G2" s="144" t="str">
        <x:v>2026년 제1기 확정 부가가치세 신고 요약</x:v>
      </x:c>
      <x:c r="H2" s="144" t="str">
        <x:v>2026년 제1기 확정 부가가치세 신고 요약</x:v>
      </x:c>
    </x:row>
    <x:row r="3" ht="15" hidden="0" customHeight="1">
      <x:c r="A3" s="145"/>
      <x:c r="B3" s="145"/>
      <x:c r="C3" s="145"/>
      <x:c r="D3" s="145"/>
      <x:c r="E3" s="145"/>
      <x:c r="F3" s="145"/>
      <x:c r="G3" s="145"/>
      <x:c r="H3" s="145"/>
    </x:row>
    <x:row r="4" ht="15" hidden="0" customHeight="1">
      <x:c r="A4" s="53" t="str">
        <x:v>결론: 예상 납부세액은 1,673원입니다. 전자신고 세액공제 5,000원을 반영했고, 신용카드 발행세액공제는 업종 적격성이 불명확해 0원으로 보수적으로 두었습니다.</x:v>
      </x:c>
      <x:c r="B4" s="53" t="str">
        <x:v>결론: 예상 납부세액은 1,673원입니다. 전자신고 세액공제 5,000원을 반영했고, 신용카드 발행세액공제는 업종 적격성이 불명확해 0원으로 보수적으로 두었습니다.</x:v>
      </x:c>
      <x:c r="C4" s="53" t="str">
        <x:v>결론: 예상 납부세액은 1,673원입니다. 전자신고 세액공제 5,000원을 반영했고, 신용카드 발행세액공제는 업종 적격성이 불명확해 0원으로 보수적으로 두었습니다.</x:v>
      </x:c>
      <x:c r="D4" s="53" t="str">
        <x:v>결론: 예상 납부세액은 1,673원입니다. 전자신고 세액공제 5,000원을 반영했고, 신용카드 발행세액공제는 업종 적격성이 불명확해 0원으로 보수적으로 두었습니다.</x:v>
      </x:c>
      <x:c r="E4" s="53" t="str">
        <x:v>결론: 예상 납부세액은 1,673원입니다. 전자신고 세액공제 5,000원을 반영했고, 신용카드 발행세액공제는 업종 적격성이 불명확해 0원으로 보수적으로 두었습니다.</x:v>
      </x:c>
      <x:c r="F4" s="53" t="str">
        <x:v>결론: 예상 납부세액은 1,673원입니다. 전자신고 세액공제 5,000원을 반영했고, 신용카드 발행세액공제는 업종 적격성이 불명확해 0원으로 보수적으로 두었습니다.</x:v>
      </x:c>
      <x:c r="G4" s="53" t="str">
        <x:v>결론: 예상 납부세액은 1,673원입니다. 전자신고 세액공제 5,000원을 반영했고, 신용카드 발행세액공제는 업종 적격성이 불명확해 0원으로 보수적으로 두었습니다.</x:v>
      </x:c>
      <x:c r="H4" s="53" t="str">
        <x:v>결론: 예상 납부세액은 1,673원입니다. 전자신고 세액공제 5,000원을 반영했고, 신용카드 발행세액공제는 업종 적격성이 불명확해 0원으로 보수적으로 두었습니다.</x:v>
      </x:c>
    </x:row>
    <x:row r="5" ht="15" hidden="0" customHeight="1">
      <x:c r="A5" s="145"/>
      <x:c r="B5" s="145"/>
      <x:c r="C5" s="145"/>
      <x:c r="D5" s="145"/>
      <x:c r="E5" s="145"/>
      <x:c r="F5" s="145"/>
      <x:c r="G5" s="145"/>
      <x:c r="H5" s="145"/>
    </x:row>
    <x:row r="6" ht="15" hidden="0" customHeight="1">
      <x:c r="A6" s="146" t="str">
        <x:v>핵심 계산</x:v>
      </x:c>
      <x:c r="B6" s="146" t="str">
        <x:v>핵심 계산</x:v>
      </x:c>
      <x:c r="C6" s="146" t="str">
        <x:v>핵심 계산</x:v>
      </x:c>
      <x:c r="D6" s="146" t="str">
        <x:v>핵심 계산</x:v>
      </x:c>
      <x:c r="E6" s="146" t="str">
        <x:v>구성 금액</x:v>
      </x:c>
      <x:c r="F6" s="146" t="str">
        <x:v>구성 금액</x:v>
      </x:c>
      <x:c r="G6" s="146" t="str">
        <x:v>구성 금액</x:v>
      </x:c>
      <x:c r="H6" s="146" t="str">
        <x:v>구성 금액</x:v>
      </x:c>
    </x:row>
    <x:row r="7" ht="26.399999618530273" hidden="0" customHeight="1">
      <x:c r="A7" s="147" t="str">
        <x:v>국내 과세 총결제액</x:v>
      </x:c>
      <x:c r="B7" s="148" t="n">
        <x:f>'국내매출'!C13</x:f>
        <x:v>368050</x:v>
      </x:c>
      <x:c r="C7" s="145"/>
      <x:c r="D7" s="145"/>
      <x:c r="E7" s="149" t="str">
        <x:v>홈택스 국내 직접매출</x:v>
      </x:c>
      <x:c r="F7" s="148" t="str">
        <x:f>'국내매출'!C23</x:f>
        <x:v>원스토어+삼성, 신고 포함</x:v>
      </x:c>
      <x:c r="G7" s="150" t="str">
        <x:v>원스토어·삼성</x:v>
      </x:c>
      <x:c r="H7" s="150"/>
    </x:row>
    <x:row r="8" ht="26.399999618530273" hidden="0" customHeight="1">
      <x:c r="A8" s="147" t="str">
        <x:v>과세 공급가액</x:v>
      </x:c>
      <x:c r="B8" s="148" t="n">
        <x:f>'국내매출'!C14</x:f>
        <x:v>334590</x:v>
      </x:c>
      <x:c r="C8" s="145"/>
      <x:c r="D8" s="145"/>
      <x:c r="E8" s="149" t="str">
        <x:v>Apple 국내 인앱결제</x:v>
      </x:c>
      <x:c r="F8" s="148" t="n">
        <x:f>'국내매출'!C9</x:f>
        <x:v>92600</x:v>
      </x:c>
      <x:c r="G8" s="150" t="str">
        <x:v>KR 국가코드</x:v>
      </x:c>
      <x:c r="H8" s="150"/>
    </x:row>
    <x:row r="9" ht="26.399999618530273" hidden="0" customHeight="1">
      <x:c r="A9" s="147" t="str">
        <x:v>매출세액</x:v>
      </x:c>
      <x:c r="B9" s="148" t="n">
        <x:f>'국내매출'!C15</x:f>
        <x:v>33459</x:v>
      </x:c>
      <x:c r="C9" s="145"/>
      <x:c r="D9" s="145"/>
      <x:c r="E9" s="149" t="str">
        <x:v>Google 국내 인앱결제</x:v>
      </x:c>
      <x:c r="F9" s="148" t="n">
        <x:f>'국내매출'!C10</x:f>
        <x:v>9500</x:v>
      </x:c>
      <x:c r="G9" s="150" t="str">
        <x:v>KR 구매자</x:v>
      </x:c>
      <x:c r="H9" s="150"/>
    </x:row>
    <x:row r="10" ht="26.399999618530273" hidden="0" customHeight="1">
      <x:c r="A10" s="147" t="str">
        <x:v>영세율 공급가액</x:v>
      </x:c>
      <x:c r="B10" s="148" t="n">
        <x:f>'외화매출'!J26</x:f>
        <x:v>287902</x:v>
      </x:c>
      <x:c r="C10" s="145"/>
      <x:c r="D10" s="145"/>
      <x:c r="E10" s="149" t="str">
        <x:v>Apple 해외 인앱결제</x:v>
      </x:c>
      <x:c r="F10" s="148" t="n">
        <x:f>'외화매출'!J29</x:f>
        <x:v>172141</x:v>
      </x:c>
      <x:c r="G10" s="150" t="str">
        <x:v>국가별 월말환율</x:v>
      </x:c>
      <x:c r="H10" s="150"/>
    </x:row>
    <x:row r="11" ht="26.399999618530273" hidden="0" customHeight="1">
      <x:c r="A11" s="147" t="str">
        <x:v>공제 매입세액</x:v>
      </x:c>
      <x:c r="B11" s="148" t="n">
        <x:f>'매입세액'!D9</x:f>
        <x:v>26786</x:v>
      </x:c>
      <x:c r="C11" s="145"/>
      <x:c r="D11" s="145"/>
      <x:c r="E11" s="149" t="str">
        <x:v>Google 해외 인앱결제</x:v>
      </x:c>
      <x:c r="F11" s="148" t="n">
        <x:f>'외화매출'!J30</x:f>
        <x:v>8819</x:v>
      </x:c>
      <x:c r="G11" s="150" t="str">
        <x:v>보고서 원화금액</x:v>
      </x:c>
      <x:c r="H11" s="150"/>
    </x:row>
    <x:row r="12" ht="15" hidden="0" customHeight="1">
      <x:c r="A12" s="147" t="str">
        <x:v>공제 전 납부세액</x:v>
      </x:c>
      <x:c r="B12" s="148" t="n">
        <x:f>B9-B11</x:f>
        <x:v>6673</x:v>
      </x:c>
      <x:c r="C12" s="145"/>
      <x:c r="D12" s="145"/>
      <x:c r="E12" s="149" t="str">
        <x:v>AdMob 계열 광고</x:v>
      </x:c>
      <x:c r="F12" s="148" t="n">
        <x:f>'외화매출'!J31</x:f>
        <x:v>106285</x:v>
      </x:c>
      <x:c r="G12" s="150" t="str">
        <x:v>확정수익(입금일 아님)</x:v>
      </x:c>
      <x:c r="H12" s="150"/>
    </x:row>
    <x:row r="13" ht="15" hidden="0" customHeight="1">
      <x:c r="A13" s="147" t="str">
        <x:v>전자신고 세액공제</x:v>
      </x:c>
      <x:c r="B13" s="148" t="n">
        <x:f>5000</x:f>
        <x:v>5000</x:v>
      </x:c>
      <x:c r="C13" s="145"/>
      <x:c r="D13" s="145"/>
      <x:c r="E13" s="149" t="str">
        <x:v>Meta 광고</x:v>
      </x:c>
      <x:c r="F13" s="148" t="n">
        <x:f>'외화매출'!J32</x:f>
        <x:v>657</x:v>
      </x:c>
      <x:c r="G13" s="150" t="str">
        <x:v>확정수익(입금일 아님)</x:v>
      </x:c>
      <x:c r="H13" s="150"/>
    </x:row>
    <x:row r="14" ht="15" hidden="0" customHeight="1">
      <x:c r="A14" s="147" t="str">
        <x:v>신용카드 발행세액공제</x:v>
      </x:c>
      <x:c r="B14" s="148" t="n">
        <x:f>0</x:f>
        <x:v>0</x:v>
      </x:c>
      <x:c r="C14" s="145"/>
      <x:c r="D14" s="145"/>
      <x:c r="E14" s="145"/>
      <x:c r="F14" s="145"/>
      <x:c r="G14" s="145"/>
      <x:c r="H14" s="145"/>
    </x:row>
    <x:row r="15" ht="16.799999237060547" hidden="0" customHeight="1">
      <x:c r="A15" s="147" t="str">
        <x:v>예상 납부(+)·환급(-)</x:v>
      </x:c>
      <x:c r="B15" s="151" t="n">
        <x:f>B12-B13-B14</x:f>
        <x:v>1673</x:v>
      </x:c>
      <x:c r="C15" s="145"/>
      <x:c r="D15" s="145"/>
      <x:c r="E15" s="145"/>
      <x:c r="F15" s="145"/>
      <x:c r="G15" s="145"/>
      <x:c r="H15" s="145"/>
    </x:row>
    <x:row r="16" ht="15" hidden="0" customHeight="1">
      <x:c r="A16" s="147" t="str">
        <x:v>판정</x:v>
      </x:c>
      <x:c r="B16" s="152" t="str">
        <x:f>IF(B15&gt;0,"납부 예상",IF(B15&lt;0,"환급 예상","납부세액 없음"))</x:f>
        <x:v>납부 예상</x:v>
      </x:c>
      <x:c r="C16" s="145"/>
      <x:c r="D16" s="145"/>
      <x:c r="E16" s="145"/>
      <x:c r="F16" s="145"/>
      <x:c r="G16" s="145"/>
      <x:c r="H16" s="145"/>
    </x:row>
    <x:row r="17" ht="15" hidden="0" customHeight="1">
      <x:c r="A17" s="145"/>
      <x:c r="B17" s="145"/>
      <x:c r="C17" s="145"/>
      <x:c r="D17" s="145"/>
      <x:c r="E17" s="145"/>
      <x:c r="F17" s="145"/>
      <x:c r="G17" s="145"/>
      <x:c r="H17" s="145"/>
    </x:row>
    <x:row r="18" ht="15" hidden="0" customHeight="1">
      <x:c r="A18" s="145"/>
      <x:c r="B18" s="145"/>
      <x:c r="C18" s="145"/>
      <x:c r="D18" s="145"/>
      <x:c r="E18" s="145"/>
      <x:c r="F18" s="145"/>
      <x:c r="G18" s="145"/>
      <x:c r="H18" s="145"/>
    </x:row>
    <x:row r="19" ht="15" hidden="0" customHeight="1">
      <x:c r="A19" s="146" t="str">
        <x:v>홈택스 입력 가이드</x:v>
      </x:c>
      <x:c r="B19" s="146" t="str">
        <x:v>홈택스 입력 가이드</x:v>
      </x:c>
      <x:c r="C19" s="146" t="str">
        <x:v>홈택스 입력 가이드</x:v>
      </x:c>
      <x:c r="D19" s="146" t="str">
        <x:v>홈택스 입력 가이드</x:v>
      </x:c>
      <x:c r="E19" s="146" t="str">
        <x:v>홈택스 입력 가이드</x:v>
      </x:c>
      <x:c r="F19" s="146" t="str">
        <x:v>홈택스 입력 가이드</x:v>
      </x:c>
      <x:c r="G19" s="146" t="str">
        <x:v>홈택스 입력 가이드</x:v>
      </x:c>
      <x:c r="H19" s="146" t="str">
        <x:v>홈택스 입력 가이드</x:v>
      </x:c>
    </x:row>
    <x:row r="20" ht="15" hidden="0" customHeight="1">
      <x:c r="A20" s="39" t="str">
        <x:v>신고 화면</x:v>
      </x:c>
      <x:c r="B20" s="39" t="str">
        <x:v>항목</x:v>
      </x:c>
      <x:c r="C20" s="39" t="str">
        <x:v>공급가액/금액</x:v>
      </x:c>
      <x:c r="D20" s="39" t="str">
        <x:v>세액</x:v>
      </x:c>
      <x:c r="E20" s="39" t="str">
        <x:v>현재 값</x:v>
      </x:c>
      <x:c r="F20" s="39" t="str">
        <x:v>세부사항</x:v>
      </x:c>
      <x:c r="G20" s="39" t="str">
        <x:v>메모</x:v>
      </x:c>
      <x:c r="H20" s="55" t="str">
        <x:v>신고 전 마지막 확인
1. 영세율 첨부서류 추가
2. 전자신고 공제 5,000원 확인
3. 납부세액 1,673원 대조
4. 신고서 PDF 저장</x:v>
      </x:c>
    </x:row>
    <x:row r="21" ht="66" hidden="0" customHeight="1">
      <x:c r="A21" s="145" t="str">
        <x:v>과세표준 및 매출세액</x:v>
      </x:c>
      <x:c r="B21" s="145" t="str">
        <x:v>신용카드·현금영수증 발행분</x:v>
      </x:c>
      <x:c r="C21" s="148" t="n">
        <x:f>B8</x:f>
        <x:v>334590</x:v>
      </x:c>
      <x:c r="D21" s="148" t="n">
        <x:f>B9</x:f>
        <x:v>33459</x:v>
      </x:c>
      <x:c r="E21" s="153" t="str">
        <x:v>입력</x:v>
      </x:c>
      <x:c r="F21" s="45" t="str">
        <x:f>"원스토어 "&amp;TEXT('국내매출'!C7,"#,##0")&amp;"원"&amp;CHAR(10)&amp;"삼성 "&amp;TEXT('국내매출'!C8,"#,##0")&amp;"원"&amp;CHAR(10)&amp;"Apple 국내 "&amp;TEXT('국내매출'!C9,"#,##0")&amp;"원"&amp;CHAR(10)&amp;"Google 국내 "&amp;TEXT('국내매출'!C10,"#,##0")&amp;"원"&amp;CHAR(10)&amp;"총결제액 "&amp;TEXT('국내매출'!C13,"#,##0")&amp;"원"</x:f>
        <x:v>원스토어 262,050원
삼성 3,900원
Apple 국내 92,600원
Google 국내 9,500원
총결제액 368,050원</x:v>
      </x:c>
      <x:c r="G21" s="145" t="str">
        <x:v>총결제액 368,050원을 1.1로 나눈 값</x:v>
      </x:c>
      <x:c r="H21" s="55" t="str">
        <x:v>신고 전 마지막 확인
1. 영세율 첨부서류 추가
2. 전자신고 공제 5,000원 확인
3. 납부세액 1,673원 대조
4. 신고서 PDF 저장</x:v>
      </x:c>
    </x:row>
    <x:row r="22" ht="66" hidden="0" customHeight="1">
      <x:c r="A22" s="145" t="str">
        <x:v>과세표준 및 매출세액</x:v>
      </x:c>
      <x:c r="B22" s="145" t="str">
        <x:v>영세율 기타</x:v>
      </x:c>
      <x:c r="C22" s="148" t="n">
        <x:f>B10</x:f>
        <x:v>287902</x:v>
      </x:c>
      <x:c r="D22" s="148" t="n">
        <x:f>0</x:f>
        <x:v>0</x:v>
      </x:c>
      <x:c r="E22" s="153" t="str">
        <x:v>입력</x:v>
      </x:c>
      <x:c r="F22" s="45" t="str">
        <x:f>"Apple 해외 "&amp;TEXT('외화매출'!J29,"#,##0")&amp;"원"&amp;CHAR(10)&amp;"Google 해외 "&amp;TEXT('외화매출'!J30,"#,##0")&amp;"원"&amp;CHAR(10)&amp;"AdMob 광고 "&amp;TEXT('외화매출'!J31,"#,##0")&amp;"원"&amp;CHAR(10)&amp;"Meta 광고 "&amp;TEXT('외화매출'!J32,"#,##0")&amp;"원"&amp;CHAR(10)&amp;"합계 "&amp;TEXT('외화매출'!J26,"#,##0")&amp;"원"</x:f>
        <x:v>Apple 해외 172,141원
Google 해외 8,819원
AdMob 광고 106,285원
Meta 광고 657원
합계 287,902원</x:v>
      </x:c>
      <x:c r="G22" s="145" t="str">
        <x:v>해외 인앱결제 + 광고 확정수익</x:v>
      </x:c>
      <x:c r="H22" s="55" t="str">
        <x:v>신고 전 마지막 확인
1. 영세율 첨부서류 추가
2. 전자신고 공제 5,000원 확인
3. 납부세액 1,673원 대조
4. 신고서 PDF 저장</x:v>
      </x:c>
    </x:row>
    <x:row r="23" ht="39.599998474121094" hidden="0" customHeight="1">
      <x:c r="A23" s="145" t="str">
        <x:v>그 밖의 공제매입세액</x:v>
      </x:c>
      <x:c r="B23" s="145" t="str">
        <x:v>신용카드매출전표 등 수령명세</x:v>
      </x:c>
      <x:c r="C23" s="148" t="n">
        <x:f>'매입세액'!C9</x:f>
        <x:v>267906</x:v>
      </x:c>
      <x:c r="D23" s="148" t="n">
        <x:f>B11</x:f>
        <x:v>26786</x:v>
      </x:c>
      <x:c r="E23" s="153" t="str">
        <x:v>입력/불러오기</x:v>
      </x:c>
      <x:c r="F23" s="45" t="str">
        <x:f>"1~3월: 공급가액 "&amp;TEXT('매입세액'!C7,"#,##0")&amp;"원 / 세액 "&amp;TEXT('매입세액'!D7,"#,##0")&amp;"원"&amp;CHAR(10)&amp;"4~6월: 공급가액 "&amp;TEXT('매입세액'!C8,"#,##0")&amp;"원 / 세액 "&amp;TEXT('매입세액'!D8,"#,##0")&amp;"원"&amp;CHAR(10)&amp;"합계: 공급가액 "&amp;TEXT('매입세액'!C9,"#,##0")&amp;"원 / 세액 "&amp;TEXT('매입세액'!D9,"#,##0")&amp;"원"</x:f>
        <x:v>1~3월: 공급가액 69,429원 / 세액 6,941원
4~6월: 공급가액 198,477원 / 세액 19,845원
합계: 공급가액 267,906원 / 세액 26,786원</x:v>
      </x:c>
      <x:c r="G23" s="145" t="str">
        <x:v>18건 모두 공제 전환 완료</x:v>
      </x:c>
      <x:c r="H23" s="55" t="str">
        <x:v>신고 전 마지막 확인
1. 영세율 첨부서류 추가
2. 전자신고 공제 5,000원 확인
3. 납부세액 1,673원 대조
4. 신고서 PDF 저장</x:v>
      </x:c>
    </x:row>
    <x:row r="24" ht="15" hidden="0" customHeight="1">
      <x:c r="A24" s="145" t="str">
        <x:v>경감·공제세액</x:v>
      </x:c>
      <x:c r="B24" s="145" t="str">
        <x:v>전자신고 세액공제</x:v>
      </x:c>
      <x:c r="C24" s="148" t="n">
        <x:f>B13</x:f>
        <x:v>5000</x:v>
      </x:c>
      <x:c r="D24" s="148" t="n">
        <x:f>0</x:f>
        <x:v>0</x:v>
      </x:c>
      <x:c r="E24" s="153" t="str">
        <x:v>자동/확인</x:v>
      </x:c>
      <x:c r="F24" s="45" t="str">
        <x:f>"직접 전자신고 공제 "&amp;TEXT(B13,"#,##0")&amp;"원"</x:f>
        <x:v>직접 전자신고 공제 5,000원</x:v>
      </x:c>
      <x:c r="G24" s="145" t="str">
        <x:v>2026-02-27 시행령 개정: 5,000원</x:v>
      </x:c>
      <x:c r="H24" s="55" t="str">
        <x:v>신고 전 마지막 확인
1. 영세율 첨부서류 추가
2. 전자신고 공제 5,000원 확인
3. 납부세액 1,673원 대조
4. 신고서 PDF 저장</x:v>
      </x:c>
    </x:row>
    <x:row r="25" ht="26.399999618530273" hidden="0" customHeight="1">
      <x:c r="A25" s="145" t="str">
        <x:v>경감·공제세액</x:v>
      </x:c>
      <x:c r="B25" s="145" t="str">
        <x:v>신용카드 발행세액공제</x:v>
      </x:c>
      <x:c r="C25" s="148" t="n">
        <x:f>B14</x:f>
        <x:v>0</x:v>
      </x:c>
      <x:c r="D25" s="148" t="n">
        <x:f>0</x:f>
        <x:v>0</x:v>
      </x:c>
      <x:c r="E25" s="153" t="str">
        <x:v>미적용</x:v>
      </x:c>
      <x:c r="F25" s="45" t="str">
        <x:f>"적용액 "&amp;TEXT(B14,"#,##0")&amp;"원"&amp;CHAR(10)&amp;"업종 적격성 확인 전 미적용"</x:f>
        <x:v>적용액 0원
업종 적격성 확인 전 미적용</x:v>
      </x:c>
      <x:c r="G25" s="145" t="str">
        <x:v>업종 적격성 확인 전 보수적으로 0원</x:v>
      </x:c>
      <x:c r="H25" s="55" t="str">
        <x:v>신고 전 마지막 확인
1. 영세율 첨부서류 추가
2. 전자신고 공제 5,000원 확인
3. 납부세액 1,673원 대조
4. 신고서 PDF 저장</x:v>
      </x:c>
    </x:row>
    <x:row r="26" ht="52.79999923706055" hidden="0" customHeight="1">
      <x:c r="A26" s="145" t="str">
        <x:v>납부세액</x:v>
      </x:c>
      <x:c r="B26" s="145" t="str">
        <x:v>예상 납부세액</x:v>
      </x:c>
      <x:c r="C26" s="148" t="n">
        <x:f>B15</x:f>
        <x:v>1673</x:v>
      </x:c>
      <x:c r="D26" s="148" t="n">
        <x:f>0</x:f>
        <x:v>0</x:v>
      </x:c>
      <x:c r="E26" s="153" t="str">
        <x:v>자동계산 확인</x:v>
      </x:c>
      <x:c r="F26" s="45" t="str">
        <x:f>"매출세액 "&amp;TEXT(B9,"#,##0")&amp;"원"&amp;CHAR(10)&amp;"- 매입세액 "&amp;TEXT(B11,"#,##0")&amp;"원"&amp;CHAR(10)&amp;"- 전자신고공제 "&amp;TEXT(B13,"#,##0")&amp;"원"&amp;CHAR(10)&amp;"= 납부세액 "&amp;TEXT(B15,"#,##0")&amp;"원"</x:f>
        <x:v>매출세액 33,459원
- 매입세액 26,786원
- 전자신고공제 5,000원
= 납부세액 1,673원</x:v>
      </x:c>
      <x:c r="G26" s="145" t="str">
        <x:v>홈택스 계산값과 1,673원 대조</x:v>
      </x:c>
      <x:c r="H26" s="55" t="str">
        <x:v>신고 전 마지막 확인
1. 영세율 첨부서류 추가
2. 전자신고 공제 5,000원 확인
3. 납부세액 1,673원 대조
4. 신고서 PDF 저장</x:v>
      </x:c>
    </x:row>
  </x:sheetData>
  <x:mergeCells>
    <x:mergeCell ref="A1:H2"/>
    <x:mergeCell ref="A4:H4"/>
    <x:mergeCell ref="A6:D6"/>
    <x:mergeCell ref="E6:H6"/>
    <x:mergeCell ref="G7:H7"/>
    <x:mergeCell ref="G8:H8"/>
    <x:mergeCell ref="G9:H9"/>
    <x:mergeCell ref="G10:H10"/>
    <x:mergeCell ref="G11:H11"/>
    <x:mergeCell ref="G12:H12"/>
    <x:mergeCell ref="G13:H13"/>
    <x:mergeCell ref="A19:H19"/>
    <x:mergeCell ref="H20:H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5" hidden="0" customWidth="1"/>
    <x:col min="3" max="3" width="16" hidden="0" customWidth="1"/>
    <x:col min="4" max="4" width="10" hidden="0" customWidth="1"/>
    <x:col min="5" max="5" width="16" hidden="0" customWidth="1"/>
    <x:col min="6" max="6" width="23" hidden="0" customWidth="1"/>
    <x:col min="7" max="7" width="34" hidden="0" customWidth="1"/>
  </x:cols>
  <x:sheetData>
    <x:row r="1" ht="30" customHeight="1">
      <x:c r="A1" s="144" t="str">
        <x:v>국내 과세매출 집계</x:v>
      </x:c>
      <x:c r="B1" s="144" t="str">
        <x:v>국내 과세매출 집계</x:v>
      </x:c>
      <x:c r="C1" s="144" t="str">
        <x:v>국내 과세매출 집계</x:v>
      </x:c>
      <x:c r="D1" s="144" t="str">
        <x:v>국내 과세매출 집계</x:v>
      </x:c>
      <x:c r="E1" s="144" t="str">
        <x:v>국내 과세매출 집계</x:v>
      </x:c>
      <x:c r="F1" s="144" t="str">
        <x:v>국내 과세매출 집계</x:v>
      </x:c>
      <x:c r="G1" s="144" t="str">
        <x:v>국내 과세매출 집계</x:v>
      </x:c>
    </x:row>
    <x:row r="2" ht="30" customHeight="1">
      <x:c r="A2" s="144" t="str">
        <x:v>국내 과세매출 집계</x:v>
      </x:c>
      <x:c r="B2" s="144" t="str">
        <x:v>국내 과세매출 집계</x:v>
      </x:c>
      <x:c r="C2" s="144" t="str">
        <x:v>국내 과세매출 집계</x:v>
      </x:c>
      <x:c r="D2" s="144" t="str">
        <x:v>국내 과세매출 집계</x:v>
      </x:c>
      <x:c r="E2" s="144" t="str">
        <x:v>국내 과세매출 집계</x:v>
      </x:c>
      <x:c r="F2" s="144" t="str">
        <x:v>국내 과세매출 집계</x:v>
      </x:c>
      <x:c r="G2" s="144" t="str">
        <x:v>국내 과세매출 집계</x:v>
      </x:c>
    </x:row>
    <x:row r="3" ht="15" hidden="0" customHeight="1">
      <x:c r="A3" s="145"/>
      <x:c r="B3" s="145"/>
      <x:c r="C3" s="145"/>
      <x:c r="D3" s="145"/>
      <x:c r="E3" s="145"/>
      <x:c r="F3" s="145"/>
      <x:c r="G3" s="145"/>
    </x:row>
    <x:row r="4" ht="15" hidden="0" customHeight="1">
      <x:c r="A4" s="93" t="str">
        <x:v>Apple 관련 홈택스 판매대행 자료는 Apple 플랫폼 보고서와 중복될 수 있어 신고 합계에서 제외하고, 플랫폼 보고서의 KR 국가코드 금액으로 국내·해외를 다시 분류했습니다.</x:v>
      </x:c>
      <x:c r="B4" s="93" t="str">
        <x:v>Apple 관련 홈택스 판매대행 자료는 Apple 플랫폼 보고서와 중복될 수 있어 신고 합계에서 제외하고, 플랫폼 보고서의 KR 국가코드 금액으로 국내·해외를 다시 분류했습니다.</x:v>
      </x:c>
      <x:c r="C4" s="93" t="str">
        <x:v>Apple 관련 홈택스 판매대행 자료는 Apple 플랫폼 보고서와 중복될 수 있어 신고 합계에서 제외하고, 플랫폼 보고서의 KR 국가코드 금액으로 국내·해외를 다시 분류했습니다.</x:v>
      </x:c>
      <x:c r="D4" s="93" t="str">
        <x:v>Apple 관련 홈택스 판매대행 자료는 Apple 플랫폼 보고서와 중복될 수 있어 신고 합계에서 제외하고, 플랫폼 보고서의 KR 국가코드 금액으로 국내·해외를 다시 분류했습니다.</x:v>
      </x:c>
      <x:c r="E4" s="93" t="str">
        <x:v>Apple 관련 홈택스 판매대행 자료는 Apple 플랫폼 보고서와 중복될 수 있어 신고 합계에서 제외하고, 플랫폼 보고서의 KR 국가코드 금액으로 국내·해외를 다시 분류했습니다.</x:v>
      </x:c>
      <x:c r="F4" s="93" t="str">
        <x:v>Apple 관련 홈택스 판매대행 자료는 Apple 플랫폼 보고서와 중복될 수 있어 신고 합계에서 제외하고, 플랫폼 보고서의 KR 국가코드 금액으로 국내·해외를 다시 분류했습니다.</x:v>
      </x:c>
      <x:c r="G4" s="93" t="str">
        <x:v>Apple 관련 홈택스 판매대행 자료는 Apple 플랫폼 보고서와 중복될 수 있어 신고 합계에서 제외하고, 플랫폼 보고서의 KR 국가코드 금액으로 국내·해외를 다시 분류했습니다.</x:v>
      </x:c>
    </x:row>
    <x:row r="5" ht="15" hidden="0" customHeight="1">
      <x:c r="A5" s="145"/>
      <x:c r="B5" s="145"/>
      <x:c r="C5" s="145"/>
      <x:c r="D5" s="145"/>
      <x:c r="E5" s="145"/>
      <x:c r="F5" s="145"/>
      <x:c r="G5" s="145"/>
    </x:row>
    <x:row r="6" ht="15" hidden="0" customHeight="1">
      <x:c r="A6" s="39" t="str">
        <x:v>플랫폼</x:v>
      </x:c>
      <x:c r="B6" s="39" t="str">
        <x:v>원천</x:v>
      </x:c>
      <x:c r="C6" s="39" t="str">
        <x:v>총결제액</x:v>
      </x:c>
      <x:c r="D6" s="39" t="str">
        <x:v>포함</x:v>
      </x:c>
      <x:c r="E6" s="39" t="str">
        <x:v>신고 구분</x:v>
      </x:c>
      <x:c r="F6" s="39" t="str">
        <x:v>근거</x:v>
      </x:c>
      <x:c r="G6" s="39" t="str">
        <x:v>메모</x:v>
      </x:c>
    </x:row>
    <x:row r="7" ht="15" hidden="0" customHeight="1">
      <x:c r="A7" s="145" t="str">
        <x:v>원스토어</x:v>
      </x:c>
      <x:c r="B7" s="145" t="str">
        <x:v>홈택스 판매(결제)대행</x:v>
      </x:c>
      <x:c r="C7" s="148" t="n">
        <x:v>262050</x:v>
      </x:c>
      <x:c r="D7" s="153" t="n">
        <x:v>1</x:v>
      </x:c>
      <x:c r="E7" s="145" t="str">
        <x:v>국내 과세</x:v>
      </x:c>
      <x:c r="F7" s="145" t="str">
        <x:v>2026-01 승인</x:v>
      </x:c>
      <x:c r="G7" s="145" t="str">
        <x:v>직접 반영</x:v>
      </x:c>
    </x:row>
    <x:row r="8" ht="15" hidden="0" customHeight="1">
      <x:c r="A8" s="145" t="str">
        <x:v>삼성</x:v>
      </x:c>
      <x:c r="B8" s="145" t="str">
        <x:v>홈택스 판매(결제)대행</x:v>
      </x:c>
      <x:c r="C8" s="148" t="n">
        <x:v>3900</x:v>
      </x:c>
      <x:c r="D8" s="153" t="n">
        <x:v>1</x:v>
      </x:c>
      <x:c r="E8" s="145" t="str">
        <x:v>국내 과세</x:v>
      </x:c>
      <x:c r="F8" s="145" t="str">
        <x:v>2026-02 승인</x:v>
      </x:c>
      <x:c r="G8" s="145" t="str">
        <x:v>직접 반영</x:v>
      </x:c>
    </x:row>
    <x:row r="9" ht="15" hidden="0" customHeight="1">
      <x:c r="A9" s="145" t="str">
        <x:v>Apple</x:v>
      </x:c>
      <x:c r="B9" s="145" t="str">
        <x:v>Sales and Trends</x:v>
      </x:c>
      <x:c r="C9" s="148" t="n">
        <x:v>92600</x:v>
      </x:c>
      <x:c r="D9" s="153" t="n">
        <x:v>1</x:v>
      </x:c>
      <x:c r="E9" s="145" t="str">
        <x:v>국내 과세</x:v>
      </x:c>
      <x:c r="F9" s="145" t="str">
        <x:v>Country Code=KR</x:v>
      </x:c>
      <x:c r="G9" s="145" t="str">
        <x:v>홈택스 Apple 행은 중복 제외</x:v>
      </x:c>
    </x:row>
    <x:row r="10" ht="15" hidden="0" customHeight="1">
      <x:c r="A10" s="145" t="str">
        <x:v>Google</x:v>
      </x:c>
      <x:c r="B10" s="145" t="str">
        <x:v>Play Console 보고서</x:v>
      </x:c>
      <x:c r="C10" s="148" t="n">
        <x:v>9500</x:v>
      </x:c>
      <x:c r="D10" s="153" t="n">
        <x:v>1</x:v>
      </x:c>
      <x:c r="E10" s="145" t="str">
        <x:v>국내 과세</x:v>
      </x:c>
      <x:c r="F10" s="145" t="str">
        <x:v>Buyer Country=KR</x:v>
      </x:c>
      <x:c r="G10" s="145" t="str">
        <x:v>공급가액 8,636원·세액 864원 원천자료</x:v>
      </x:c>
    </x:row>
    <x:row r="11" ht="15" hidden="0" customHeight="1">
      <x:c r="A11" s="145"/>
      <x:c r="B11" s="145"/>
      <x:c r="C11" s="145"/>
      <x:c r="D11" s="145"/>
      <x:c r="E11" s="145"/>
      <x:c r="F11" s="145"/>
      <x:c r="G11" s="145"/>
    </x:row>
    <x:row r="12" ht="15" hidden="0" customHeight="1">
      <x:c r="A12" s="145"/>
      <x:c r="B12" s="145"/>
      <x:c r="C12" s="145"/>
      <x:c r="D12" s="145"/>
      <x:c r="E12" s="145"/>
      <x:c r="F12" s="145"/>
      <x:c r="G12" s="145"/>
    </x:row>
    <x:row r="13" ht="15" hidden="0" customHeight="1">
      <x:c r="A13" s="147" t="str">
        <x:v>국내 과세 총결제액</x:v>
      </x:c>
      <x:c r="B13" s="147" t="str">
        <x:v>신고 포함분 합계</x:v>
      </x:c>
      <x:c r="C13" s="154" t="n">
        <x:f>SUMIFS(C7:C10,D7:D10,1)</x:f>
        <x:v>368050</x:v>
      </x:c>
      <x:c r="D13" s="145"/>
      <x:c r="E13" s="145"/>
      <x:c r="F13" s="145"/>
      <x:c r="G13" s="145"/>
    </x:row>
    <x:row r="14" ht="15" hidden="0" customHeight="1">
      <x:c r="A14" s="147" t="str">
        <x:v>과세 공급가액</x:v>
      </x:c>
      <x:c r="B14" s="147" t="str">
        <x:v>총결제액 ÷ 1.1, 원 미만 절사</x:v>
      </x:c>
      <x:c r="C14" s="154" t="n">
        <x:f>ROUNDDOWN(C13/1.1,0)</x:f>
        <x:v>334590</x:v>
      </x:c>
      <x:c r="D14" s="145"/>
      <x:c r="E14" s="145"/>
      <x:c r="F14" s="145"/>
      <x:c r="G14" s="145"/>
    </x:row>
    <x:row r="15" ht="15" hidden="0" customHeight="1">
      <x:c r="A15" s="147" t="str">
        <x:v>매출세액</x:v>
      </x:c>
      <x:c r="B15" s="147" t="str">
        <x:v>총결제액 ÷ 11, 원 미만 절사</x:v>
      </x:c>
      <x:c r="C15" s="154" t="n">
        <x:f>ROUNDDOWN(C13/11,0)</x:f>
        <x:v>33459</x:v>
      </x:c>
      <x:c r="D15" s="145"/>
      <x:c r="E15" s="145"/>
      <x:c r="F15" s="145"/>
      <x:c r="G15" s="145"/>
    </x:row>
    <x:row r="16" ht="26.399999618530273" hidden="0" customHeight="1">
      <x:c r="A16" s="147" t="str">
        <x:v>절사 차이</x:v>
      </x:c>
      <x:c r="B16" s="147" t="str">
        <x:v>총결제액 - 공급가액 - 매출세액</x:v>
      </x:c>
      <x:c r="C16" s="154" t="n">
        <x:f>C13-C14-C15</x:f>
        <x:v>1</x:v>
      </x:c>
      <x:c r="D16" s="145"/>
      <x:c r="E16" s="145"/>
      <x:c r="F16" s="145"/>
      <x:c r="G16" s="145"/>
    </x:row>
    <x:row r="17" ht="15" hidden="0" customHeight="1">
      <x:c r="A17" s="145"/>
      <x:c r="B17" s="145"/>
      <x:c r="C17" s="145"/>
      <x:c r="D17" s="145"/>
      <x:c r="E17" s="145"/>
      <x:c r="F17" s="145"/>
      <x:c r="G17" s="145"/>
    </x:row>
    <x:row r="18" ht="15" hidden="0" customHeight="1">
      <x:c r="A18" s="145"/>
      <x:c r="B18" s="145"/>
      <x:c r="C18" s="145"/>
      <x:c r="D18" s="145"/>
      <x:c r="E18" s="145"/>
      <x:c r="F18" s="145"/>
      <x:c r="G18" s="145"/>
    </x:row>
    <x:row r="19" ht="15" hidden="0" customHeight="1">
      <x:c r="A19" s="146" t="str">
        <x:v>홈택스 판매대행 자료 대조</x:v>
      </x:c>
      <x:c r="B19" s="146" t="str">
        <x:v>홈택스 판매대행 자료 대조</x:v>
      </x:c>
      <x:c r="C19" s="146" t="str">
        <x:v>홈택스 판매대행 자료 대조</x:v>
      </x:c>
      <x:c r="D19" s="146" t="str">
        <x:v>홈택스 판매대행 자료 대조</x:v>
      </x:c>
      <x:c r="E19" s="146" t="str">
        <x:v>홈택스 판매대행 자료 대조</x:v>
      </x:c>
      <x:c r="F19" s="146" t="str">
        <x:v>홈택스 판매대행 자료 대조</x:v>
      </x:c>
      <x:c r="G19" s="146" t="str">
        <x:v>홈택스 판매대행 자료 대조</x:v>
      </x:c>
    </x:row>
    <x:row r="20" ht="15" hidden="0" customHeight="1">
      <x:c r="A20" s="39" t="str">
        <x:v>구분</x:v>
      </x:c>
      <x:c r="B20" s="39" t="str">
        <x:v>금액</x:v>
      </x:c>
      <x:c r="C20" s="39" t="str">
        <x:v>처리</x:v>
      </x:c>
      <x:c r="D20" s="145"/>
      <x:c r="E20" s="145"/>
      <x:c r="F20" s="145"/>
      <x:c r="G20" s="145"/>
    </x:row>
    <x:row r="21" ht="15" hidden="0" customHeight="1">
      <x:c r="A21" s="145" t="str">
        <x:v>홈택스 판매대행 전체</x:v>
      </x:c>
      <x:c r="B21" s="148" t="n">
        <x:v>477224</x:v>
      </x:c>
      <x:c r="C21" s="145" t="str">
        <x:v>대조용</x:v>
      </x:c>
      <x:c r="D21" s="145"/>
      <x:c r="E21" s="145"/>
      <x:c r="F21" s="145"/>
      <x:c r="G21" s="145"/>
    </x:row>
    <x:row r="22" ht="26.399999618530273" hidden="0" customHeight="1">
      <x:c r="A22" s="145" t="str">
        <x:v>홈택스 Apple 관련 행</x:v>
      </x:c>
      <x:c r="B22" s="148" t="n">
        <x:v>211274</x:v>
      </x:c>
      <x:c r="C22" s="145" t="str">
        <x:v>신고 합계에서 제외 후 국가별 재분류</x:v>
      </x:c>
      <x:c r="D22" s="145"/>
      <x:c r="E22" s="145"/>
      <x:c r="F22" s="145"/>
      <x:c r="G22" s="145"/>
    </x:row>
    <x:row r="23" ht="26.399999618530273" hidden="0" customHeight="1">
      <x:c r="A23" s="145" t="str">
        <x:v>홈택스 국내 직접매출</x:v>
      </x:c>
      <x:c r="B23" s="148" t="n">
        <x:f>B21-B22</x:f>
        <x:v>265950</x:v>
      </x:c>
      <x:c r="C23" s="145" t="str">
        <x:v>원스토어+삼성, 신고 포함</x:v>
      </x:c>
      <x:c r="D23" s="145"/>
      <x:c r="E23" s="145"/>
      <x:c r="F23" s="145"/>
      <x:c r="G23" s="145"/>
    </x:row>
    <x:row r="24" ht="26.399999618530273" hidden="0" customHeight="1">
      <x:c r="A24" s="145" t="str">
        <x:v>Apple 플랫폼 보고서 전체</x:v>
      </x:c>
      <x:c r="B24" s="148" t="n">
        <x:f>C9+'외화매출'!J29</x:f>
        <x:v>264741</x:v>
      </x:c>
      <x:c r="C24" s="145" t="str">
        <x:v>국내 92,600원 + 해외 환산액</x:v>
      </x:c>
      <x:c r="D24" s="145"/>
      <x:c r="E24" s="145"/>
      <x:c r="F24" s="145"/>
      <x:c r="G24" s="145"/>
    </x:row>
    <x:row r="25" ht="15" hidden="0" customHeight="1">
      <x:c r="A25" s="145"/>
      <x:c r="B25" s="145"/>
      <x:c r="C25" s="145"/>
      <x:c r="D25" s="145"/>
      <x:c r="E25" s="145"/>
      <x:c r="F25" s="145"/>
      <x:c r="G25" s="145"/>
    </x:row>
    <x:row r="26" ht="34" customHeight="1">
      <x:c r="A26" s="94" t="str">
        <x:v>Apple 홈택스 자료와 Apple 월별 보고서는 승인월·집계기준 차이로 금액이 일치하지 않습니다. 이 파일은 국가코드가 있는 Apple 보고서를 분류 근거로 사용하고, 홈택스 Apple 금액은 중복 방지용 대조값으로만 보관합니다.</x:v>
      </x:c>
      <x:c r="B26" s="94" t="str">
        <x:v>Apple 홈택스 자료와 Apple 월별 보고서는 승인월·집계기준 차이로 금액이 일치하지 않습니다. 이 파일은 국가코드가 있는 Apple 보고서를 분류 근거로 사용하고, 홈택스 Apple 금액은 중복 방지용 대조값으로만 보관합니다.</x:v>
      </x:c>
      <x:c r="C26" s="94" t="str">
        <x:v>Apple 홈택스 자료와 Apple 월별 보고서는 승인월·집계기준 차이로 금액이 일치하지 않습니다. 이 파일은 국가코드가 있는 Apple 보고서를 분류 근거로 사용하고, 홈택스 Apple 금액은 중복 방지용 대조값으로만 보관합니다.</x:v>
      </x:c>
      <x:c r="D26" s="94" t="str">
        <x:v>Apple 홈택스 자료와 Apple 월별 보고서는 승인월·집계기준 차이로 금액이 일치하지 않습니다. 이 파일은 국가코드가 있는 Apple 보고서를 분류 근거로 사용하고, 홈택스 Apple 금액은 중복 방지용 대조값으로만 보관합니다.</x:v>
      </x:c>
      <x:c r="E26" s="94" t="str">
        <x:v>Apple 홈택스 자료와 Apple 월별 보고서는 승인월·집계기준 차이로 금액이 일치하지 않습니다. 이 파일은 국가코드가 있는 Apple 보고서를 분류 근거로 사용하고, 홈택스 Apple 금액은 중복 방지용 대조값으로만 보관합니다.</x:v>
      </x:c>
      <x:c r="F26" s="94" t="str">
        <x:v>Apple 홈택스 자료와 Apple 월별 보고서는 승인월·집계기준 차이로 금액이 일치하지 않습니다. 이 파일은 국가코드가 있는 Apple 보고서를 분류 근거로 사용하고, 홈택스 Apple 금액은 중복 방지용 대조값으로만 보관합니다.</x:v>
      </x:c>
      <x:c r="G26" s="94" t="str">
        <x:v>Apple 홈택스 자료와 Apple 월별 보고서는 승인월·집계기준 차이로 금액이 일치하지 않습니다. 이 파일은 국가코드가 있는 Apple 보고서를 분류 근거로 사용하고, 홈택스 Apple 금액은 중복 방지용 대조값으로만 보관합니다.</x:v>
      </x:c>
    </x:row>
    <x:row r="27" ht="34" customHeight="1">
      <x:c r="A27" s="94" t="str">
        <x:v>Apple 홈택스 자료와 Apple 월별 보고서는 승인월·집계기준 차이로 금액이 일치하지 않습니다. 이 파일은 국가코드가 있는 Apple 보고서를 분류 근거로 사용하고, 홈택스 Apple 금액은 중복 방지용 대조값으로만 보관합니다.</x:v>
      </x:c>
      <x:c r="B27" s="94" t="str">
        <x:v>Apple 홈택스 자료와 Apple 월별 보고서는 승인월·집계기준 차이로 금액이 일치하지 않습니다. 이 파일은 국가코드가 있는 Apple 보고서를 분류 근거로 사용하고, 홈택스 Apple 금액은 중복 방지용 대조값으로만 보관합니다.</x:v>
      </x:c>
      <x:c r="C27" s="94" t="str">
        <x:v>Apple 홈택스 자료와 Apple 월별 보고서는 승인월·집계기준 차이로 금액이 일치하지 않습니다. 이 파일은 국가코드가 있는 Apple 보고서를 분류 근거로 사용하고, 홈택스 Apple 금액은 중복 방지용 대조값으로만 보관합니다.</x:v>
      </x:c>
      <x:c r="D27" s="94" t="str">
        <x:v>Apple 홈택스 자료와 Apple 월별 보고서는 승인월·집계기준 차이로 금액이 일치하지 않습니다. 이 파일은 국가코드가 있는 Apple 보고서를 분류 근거로 사용하고, 홈택스 Apple 금액은 중복 방지용 대조값으로만 보관합니다.</x:v>
      </x:c>
      <x:c r="E27" s="94" t="str">
        <x:v>Apple 홈택스 자료와 Apple 월별 보고서는 승인월·집계기준 차이로 금액이 일치하지 않습니다. 이 파일은 국가코드가 있는 Apple 보고서를 분류 근거로 사용하고, 홈택스 Apple 금액은 중복 방지용 대조값으로만 보관합니다.</x:v>
      </x:c>
      <x:c r="F27" s="94" t="str">
        <x:v>Apple 홈택스 자료와 Apple 월별 보고서는 승인월·집계기준 차이로 금액이 일치하지 않습니다. 이 파일은 국가코드가 있는 Apple 보고서를 분류 근거로 사용하고, 홈택스 Apple 금액은 중복 방지용 대조값으로만 보관합니다.</x:v>
      </x:c>
      <x:c r="G27" s="94" t="str">
        <x:v>Apple 홈택스 자료와 Apple 월별 보고서는 승인월·집계기준 차이로 금액이 일치하지 않습니다. 이 파일은 국가코드가 있는 Apple 보고서를 분류 근거로 사용하고, 홈택스 Apple 금액은 중복 방지용 대조값으로만 보관합니다.</x:v>
      </x:c>
    </x:row>
  </x:sheetData>
  <x:mergeCells>
    <x:mergeCell ref="A1:G2"/>
    <x:mergeCell ref="A4:G4"/>
    <x:mergeCell ref="A19:G19"/>
    <x:mergeCell ref="A26:G27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2" hidden="0" customWidth="1"/>
    <x:col min="3" max="3" width="20" hidden="0" customWidth="1"/>
    <x:col min="4" max="4" width="10" hidden="0" customWidth="1"/>
    <x:col min="5" max="5" width="9" hidden="0" customWidth="1"/>
    <x:col min="6" max="6" width="12" hidden="0" customWidth="1"/>
    <x:col min="7" max="7" width="11" hidden="0" customWidth="1"/>
    <x:col min="8" max="8" width="12" hidden="0" customWidth="1"/>
    <x:col min="9" max="9" width="9" hidden="0" customWidth="1"/>
    <x:col min="10" max="10" width="15" hidden="0" customWidth="1"/>
    <x:col min="11" max="11" width="11" hidden="0" customWidth="1"/>
    <x:col min="12" max="12" width="28" hidden="0" customWidth="1"/>
  </x:cols>
  <x:sheetData>
    <x:row r="1" ht="30" customHeight="1">
      <x:c r="A1" s="144" t="str">
        <x:v>영세율 매출 환산 내역</x:v>
      </x:c>
      <x:c r="B1" s="144" t="str">
        <x:v>영세율 매출 환산 내역</x:v>
      </x:c>
      <x:c r="C1" s="144" t="str">
        <x:v>영세율 매출 환산 내역</x:v>
      </x:c>
      <x:c r="D1" s="144" t="str">
        <x:v>영세율 매출 환산 내역</x:v>
      </x:c>
      <x:c r="E1" s="144" t="str">
        <x:v>영세율 매출 환산 내역</x:v>
      </x:c>
      <x:c r="F1" s="144" t="str">
        <x:v>영세율 매출 환산 내역</x:v>
      </x:c>
      <x:c r="G1" s="144" t="str">
        <x:v>영세율 매출 환산 내역</x:v>
      </x:c>
      <x:c r="H1" s="144" t="str">
        <x:v>영세율 매출 환산 내역</x:v>
      </x:c>
      <x:c r="I1" s="144" t="str">
        <x:v>영세율 매출 환산 내역</x:v>
      </x:c>
      <x:c r="J1" s="144" t="str">
        <x:v>영세율 매출 환산 내역</x:v>
      </x:c>
      <x:c r="K1" s="144" t="str">
        <x:v>영세율 매출 환산 내역</x:v>
      </x:c>
      <x:c r="L1" s="144" t="str">
        <x:v>영세율 매출 환산 내역</x:v>
      </x:c>
    </x:row>
    <x:row r="2" ht="30" customHeight="1">
      <x:c r="A2" s="144" t="str">
        <x:v>영세율 매출 환산 내역</x:v>
      </x:c>
      <x:c r="B2" s="144" t="str">
        <x:v>영세율 매출 환산 내역</x:v>
      </x:c>
      <x:c r="C2" s="144" t="str">
        <x:v>영세율 매출 환산 내역</x:v>
      </x:c>
      <x:c r="D2" s="144" t="str">
        <x:v>영세율 매출 환산 내역</x:v>
      </x:c>
      <x:c r="E2" s="144" t="str">
        <x:v>영세율 매출 환산 내역</x:v>
      </x:c>
      <x:c r="F2" s="144" t="str">
        <x:v>영세율 매출 환산 내역</x:v>
      </x:c>
      <x:c r="G2" s="144" t="str">
        <x:v>영세율 매출 환산 내역</x:v>
      </x:c>
      <x:c r="H2" s="144" t="str">
        <x:v>영세율 매출 환산 내역</x:v>
      </x:c>
      <x:c r="I2" s="144" t="str">
        <x:v>영세율 매출 환산 내역</x:v>
      </x:c>
      <x:c r="J2" s="144" t="str">
        <x:v>영세율 매출 환산 내역</x:v>
      </x:c>
      <x:c r="K2" s="144" t="str">
        <x:v>영세율 매출 환산 내역</x:v>
      </x:c>
      <x:c r="L2" s="144" t="str">
        <x:v>영세율 매출 환산 내역</x:v>
      </x:c>
    </x:row>
    <x:row r="3" ht="15" hidden="0" customHeight="1">
      <x:c r="A3" s="145"/>
      <x:c r="B3" s="145"/>
      <x:c r="C3" s="145"/>
      <x:c r="D3" s="145"/>
      <x:c r="E3" s="145"/>
      <x:c r="F3" s="145"/>
      <x:c r="G3" s="145"/>
      <x:c r="H3" s="145"/>
      <x:c r="I3" s="145"/>
      <x:c r="J3" s="145"/>
      <x:c r="K3" s="145"/>
      <x:c r="L3" s="145"/>
    </x:row>
    <x:row r="4" ht="15" hidden="0" customHeight="1">
      <x:c r="A4" s="93" t="str">
        <x:v>공급시기는 월별 플랫폼 보고서의 월말로 통일했습니다. 외화는 해당 월말 기준환율로 원화 환산 후 원 미만을 절사했습니다. 실제 입금일과는 분리합니다.</x:v>
      </x:c>
      <x:c r="B4" s="93" t="str">
        <x:v>공급시기는 월별 플랫폼 보고서의 월말로 통일했습니다. 외화는 해당 월말 기준환율로 원화 환산 후 원 미만을 절사했습니다. 실제 입금일과는 분리합니다.</x:v>
      </x:c>
      <x:c r="C4" s="93" t="str">
        <x:v>공급시기는 월별 플랫폼 보고서의 월말로 통일했습니다. 외화는 해당 월말 기준환율로 원화 환산 후 원 미만을 절사했습니다. 실제 입금일과는 분리합니다.</x:v>
      </x:c>
      <x:c r="D4" s="93" t="str">
        <x:v>공급시기는 월별 플랫폼 보고서의 월말로 통일했습니다. 외화는 해당 월말 기준환율로 원화 환산 후 원 미만을 절사했습니다. 실제 입금일과는 분리합니다.</x:v>
      </x:c>
      <x:c r="E4" s="93" t="str">
        <x:v>공급시기는 월별 플랫폼 보고서의 월말로 통일했습니다. 외화는 해당 월말 기준환율로 원화 환산 후 원 미만을 절사했습니다. 실제 입금일과는 분리합니다.</x:v>
      </x:c>
      <x:c r="F4" s="93" t="str">
        <x:v>공급시기는 월별 플랫폼 보고서의 월말로 통일했습니다. 외화는 해당 월말 기준환율로 원화 환산 후 원 미만을 절사했습니다. 실제 입금일과는 분리합니다.</x:v>
      </x:c>
      <x:c r="G4" s="93" t="str">
        <x:v>공급시기는 월별 플랫폼 보고서의 월말로 통일했습니다. 외화는 해당 월말 기준환율로 원화 환산 후 원 미만을 절사했습니다. 실제 입금일과는 분리합니다.</x:v>
      </x:c>
      <x:c r="H4" s="93" t="str">
        <x:v>공급시기는 월별 플랫폼 보고서의 월말로 통일했습니다. 외화는 해당 월말 기준환율로 원화 환산 후 원 미만을 절사했습니다. 실제 입금일과는 분리합니다.</x:v>
      </x:c>
      <x:c r="I4" s="93" t="str">
        <x:v>공급시기는 월별 플랫폼 보고서의 월말로 통일했습니다. 외화는 해당 월말 기준환율로 원화 환산 후 원 미만을 절사했습니다. 실제 입금일과는 분리합니다.</x:v>
      </x:c>
      <x:c r="J4" s="93" t="str">
        <x:v>공급시기는 월별 플랫폼 보고서의 월말로 통일했습니다. 외화는 해당 월말 기준환율로 원화 환산 후 원 미만을 절사했습니다. 실제 입금일과는 분리합니다.</x:v>
      </x:c>
      <x:c r="K4" s="93" t="str">
        <x:v>공급시기는 월별 플랫폼 보고서의 월말로 통일했습니다. 외화는 해당 월말 기준환율로 원화 환산 후 원 미만을 절사했습니다. 실제 입금일과는 분리합니다.</x:v>
      </x:c>
      <x:c r="L4" s="93" t="str">
        <x:v>공급시기는 월별 플랫폼 보고서의 월말로 통일했습니다. 외화는 해당 월말 기준환율로 원화 환산 후 원 미만을 절사했습니다. 실제 입금일과는 분리합니다.</x:v>
      </x:c>
    </x:row>
    <x:row r="5" ht="15" hidden="0" customHeight="1">
      <x:c r="A5" s="145"/>
      <x:c r="B5" s="145"/>
      <x:c r="C5" s="145"/>
      <x:c r="D5" s="145"/>
      <x:c r="E5" s="145"/>
      <x:c r="F5" s="145"/>
      <x:c r="G5" s="145"/>
      <x:c r="H5" s="145"/>
      <x:c r="I5" s="145"/>
      <x:c r="J5" s="145"/>
      <x:c r="K5" s="145"/>
      <x:c r="L5" s="145"/>
    </x:row>
    <x:row r="6" ht="15" hidden="0" customHeight="1">
      <x:c r="A6" s="39" t="str">
        <x:v>공급일</x:v>
      </x:c>
      <x:c r="B6" s="39" t="str">
        <x:v>플랫폼</x:v>
      </x:c>
      <x:c r="C6" s="39" t="str">
        <x:v>수익 구분</x:v>
      </x:c>
      <x:c r="D6" s="39" t="str">
        <x:v>국가</x:v>
      </x:c>
      <x:c r="E6" s="39" t="str">
        <x:v>통화</x:v>
      </x:c>
      <x:c r="F6" s="39" t="str">
        <x:v>외화금액</x:v>
      </x:c>
      <x:c r="G6" s="39" t="str">
        <x:v>환율단위</x:v>
      </x:c>
      <x:c r="H6" s="39" t="str">
        <x:v>기준환율</x:v>
      </x:c>
      <x:c r="I6" s="39" t="str">
        <x:v>포함</x:v>
      </x:c>
      <x:c r="J6" s="39" t="str">
        <x:v>원화금액</x:v>
      </x:c>
      <x:c r="K6" s="39" t="str">
        <x:v>세율</x:v>
      </x:c>
      <x:c r="L6" s="39" t="str">
        <x:v>근거/메모</x:v>
      </x:c>
    </x:row>
    <x:row r="7" ht="15" hidden="0" customHeight="1">
      <x:c r="A7" s="155" t="n">
        <x:v>46053</x:v>
      </x:c>
      <x:c r="B7" s="145" t="str">
        <x:v>Apple</x:v>
      </x:c>
      <x:c r="C7" s="145" t="str">
        <x:v>인앱결제</x:v>
      </x:c>
      <x:c r="D7" s="145" t="str">
        <x:v>JP</x:v>
      </x:c>
      <x:c r="E7" s="145" t="str">
        <x:v>JPY</x:v>
      </x:c>
      <x:c r="F7" s="156" t="n">
        <x:v>4700</x:v>
      </x:c>
      <x:c r="G7" s="157" t="n">
        <x:f>SUMIFS('환율'!$C$5:$C$52,'환율'!$A$5:$A$52,A7,'환율'!$B$5:$B$52,E7)</x:f>
        <x:v>100</x:v>
      </x:c>
      <x:c r="H7" s="158" t="n">
        <x:f>SUMIFS('환율'!$D$5:$D$52,'환율'!$A$5:$A$52,A7,'환율'!$B$5:$B$52,E7)</x:f>
        <x:v>932.89</x:v>
      </x:c>
      <x:c r="I7" s="157" t="n">
        <x:v>1</x:v>
      </x:c>
      <x:c r="J7" s="148" t="n">
        <x:f>IF(I7=1,ROUNDDOWN(F7*H7/G7,0),0)</x:f>
        <x:v>43845</x:v>
      </x:c>
      <x:c r="K7" s="145" t="str">
        <x:v>영세율</x:v>
      </x:c>
      <x:c r="L7" s="145" t="str">
        <x:v>Sales and Trends</x:v>
      </x:c>
    </x:row>
    <x:row r="8" ht="15" hidden="0" customHeight="1">
      <x:c r="A8" s="155" t="n">
        <x:v>46053</x:v>
      </x:c>
      <x:c r="B8" s="145" t="str">
        <x:v>Apple</x:v>
      </x:c>
      <x:c r="C8" s="145" t="str">
        <x:v>인앱결제</x:v>
      </x:c>
      <x:c r="D8" s="145" t="str">
        <x:v>CA</x:v>
      </x:c>
      <x:c r="E8" s="145" t="str">
        <x:v>CAD</x:v>
      </x:c>
      <x:c r="F8" s="156" t="n">
        <x:v>64.93</x:v>
      </x:c>
      <x:c r="G8" s="157" t="n">
        <x:f>SUMIFS('환율'!$C$5:$C$52,'환율'!$A$5:$A$52,A8,'환율'!$B$5:$B$52,E8)</x:f>
        <x:v>1</x:v>
      </x:c>
      <x:c r="H8" s="158" t="n">
        <x:f>SUMIFS('환율'!$D$5:$D$52,'환율'!$A$5:$A$52,A8,'환율'!$B$5:$B$52,E8)</x:f>
        <x:v>1057.94</x:v>
      </x:c>
      <x:c r="I8" s="157" t="n">
        <x:v>1</x:v>
      </x:c>
      <x:c r="J8" s="148" t="n">
        <x:f>IF(I8=1,ROUNDDOWN(F8*H8/G8,0),0)</x:f>
        <x:v>68692</x:v>
      </x:c>
      <x:c r="K8" s="145" t="str">
        <x:v>영세율</x:v>
      </x:c>
      <x:c r="L8" s="145" t="str">
        <x:v>Sales and Trends</x:v>
      </x:c>
    </x:row>
    <x:row r="9" ht="15" hidden="0" customHeight="1">
      <x:c r="A9" s="155" t="n">
        <x:v>46053</x:v>
      </x:c>
      <x:c r="B9" s="145" t="str">
        <x:v>Apple</x:v>
      </x:c>
      <x:c r="C9" s="145" t="str">
        <x:v>인앱결제</x:v>
      </x:c>
      <x:c r="D9" s="145" t="str">
        <x:v>GB</x:v>
      </x:c>
      <x:c r="E9" s="145" t="str">
        <x:v>GBP</x:v>
      </x:c>
      <x:c r="F9" s="156" t="n">
        <x:v>6.99</x:v>
      </x:c>
      <x:c r="G9" s="157" t="n">
        <x:f>SUMIFS('환율'!$C$5:$C$52,'환율'!$A$5:$A$52,A9,'환율'!$B$5:$B$52,E9)</x:f>
        <x:v>1</x:v>
      </x:c>
      <x:c r="H9" s="158" t="n">
        <x:f>SUMIFS('환율'!$D$5:$D$52,'환율'!$A$5:$A$52,A9,'환율'!$B$5:$B$52,E9)</x:f>
        <x:v>1970.62</x:v>
      </x:c>
      <x:c r="I9" s="157" t="n">
        <x:v>1</x:v>
      </x:c>
      <x:c r="J9" s="148" t="n">
        <x:f>IF(I9=1,ROUNDDOWN(F9*H9/G9,0),0)</x:f>
        <x:v>13774</x:v>
      </x:c>
      <x:c r="K9" s="145" t="str">
        <x:v>영세율</x:v>
      </x:c>
      <x:c r="L9" s="145" t="str">
        <x:v>Sales and Trends</x:v>
      </x:c>
    </x:row>
    <x:row r="10" ht="15" hidden="0" customHeight="1">
      <x:c r="A10" s="155" t="n">
        <x:v>46081</x:v>
      </x:c>
      <x:c r="B10" s="145" t="str">
        <x:v>Apple</x:v>
      </x:c>
      <x:c r="C10" s="145" t="str">
        <x:v>인앱결제</x:v>
      </x:c>
      <x:c r="D10" s="145" t="str">
        <x:v>TW</x:v>
      </x:c>
      <x:c r="E10" s="145" t="str">
        <x:v>TWD</x:v>
      </x:c>
      <x:c r="F10" s="156" t="n">
        <x:v>530</x:v>
      </x:c>
      <x:c r="G10" s="157" t="n">
        <x:f>SUMIFS('환율'!$C$5:$C$52,'환율'!$A$5:$A$52,A10,'환율'!$B$5:$B$52,E10)</x:f>
        <x:v>1</x:v>
      </x:c>
      <x:c r="H10" s="158" t="n">
        <x:f>SUMIFS('환율'!$D$5:$D$52,'환율'!$A$5:$A$52,A10,'환율'!$B$5:$B$52,E10)</x:f>
        <x:v>45.57</x:v>
      </x:c>
      <x:c r="I10" s="157" t="n">
        <x:v>1</x:v>
      </x:c>
      <x:c r="J10" s="148" t="n">
        <x:f>IF(I10=1,ROUNDDOWN(F10*H10/G10,0),0)</x:f>
        <x:v>24152</x:v>
      </x:c>
      <x:c r="K10" s="145" t="str">
        <x:v>영세율</x:v>
      </x:c>
      <x:c r="L10" s="145" t="str">
        <x:v>Sales and Trends</x:v>
      </x:c>
    </x:row>
    <x:row r="11" ht="15" hidden="0" customHeight="1">
      <x:c r="A11" s="155" t="n">
        <x:v>46081</x:v>
      </x:c>
      <x:c r="B11" s="145" t="str">
        <x:v>Apple</x:v>
      </x:c>
      <x:c r="C11" s="145" t="str">
        <x:v>인앱결제</x:v>
      </x:c>
      <x:c r="D11" s="145" t="str">
        <x:v>TH</x:v>
      </x:c>
      <x:c r="E11" s="145" t="str">
        <x:v>THB</x:v>
      </x:c>
      <x:c r="F11" s="156" t="n">
        <x:v>249</x:v>
      </x:c>
      <x:c r="G11" s="157" t="n">
        <x:f>SUMIFS('환율'!$C$5:$C$52,'환율'!$A$5:$A$52,A11,'환율'!$B$5:$B$52,E11)</x:f>
        <x:v>1</x:v>
      </x:c>
      <x:c r="H11" s="158" t="n">
        <x:f>SUMIFS('환율'!$D$5:$D$52,'환율'!$A$5:$A$52,A11,'환율'!$B$5:$B$52,E11)</x:f>
        <x:v>45.8</x:v>
      </x:c>
      <x:c r="I11" s="157" t="n">
        <x:v>1</x:v>
      </x:c>
      <x:c r="J11" s="148" t="n">
        <x:f>IF(I11=1,ROUNDDOWN(F11*H11/G11,0),0)</x:f>
        <x:v>11404</x:v>
      </x:c>
      <x:c r="K11" s="145" t="str">
        <x:v>영세율</x:v>
      </x:c>
      <x:c r="L11" s="145" t="str">
        <x:v>Sales and Trends</x:v>
      </x:c>
    </x:row>
    <x:row r="12" ht="15" hidden="0" customHeight="1">
      <x:c r="A12" s="155" t="n">
        <x:v>46112</x:v>
      </x:c>
      <x:c r="B12" s="145" t="str">
        <x:v>Apple</x:v>
      </x:c>
      <x:c r="C12" s="145" t="str">
        <x:v>인앱결제</x:v>
      </x:c>
      <x:c r="D12" s="145" t="str">
        <x:v>VN</x:v>
      </x:c>
      <x:c r="E12" s="145" t="str">
        <x:v>VND</x:v>
      </x:c>
      <x:c r="F12" s="156" t="n">
        <x:v>179000</x:v>
      </x:c>
      <x:c r="G12" s="157" t="n">
        <x:f>SUMIFS('환율'!$C$5:$C$52,'환율'!$A$5:$A$52,A12,'환율'!$B$5:$B$52,E12)</x:f>
        <x:v>100</x:v>
      </x:c>
      <x:c r="H12" s="158" t="n">
        <x:f>SUMIFS('환율'!$D$5:$D$52,'환율'!$A$5:$A$52,A12,'환율'!$B$5:$B$52,E12)</x:f>
        <x:v>5.74</x:v>
      </x:c>
      <x:c r="I12" s="157" t="n">
        <x:v>1</x:v>
      </x:c>
      <x:c r="J12" s="148" t="n">
        <x:f>IF(I12=1,ROUNDDOWN(F12*H12/G12,0),0)</x:f>
        <x:v>10274</x:v>
      </x:c>
      <x:c r="K12" s="145" t="str">
        <x:v>영세율</x:v>
      </x:c>
      <x:c r="L12" s="145" t="str">
        <x:v>Sales and Trends</x:v>
      </x:c>
    </x:row>
    <x:row r="13" ht="15" hidden="0" customHeight="1">
      <x:c r="A13" s="155" t="n">
        <x:v>46053</x:v>
      </x:c>
      <x:c r="B13" s="145" t="str">
        <x:v>Google</x:v>
      </x:c>
      <x:c r="C13" s="145" t="str">
        <x:v>인앱결제</x:v>
      </x:c>
      <x:c r="D13" s="145" t="str">
        <x:v>US</x:v>
      </x:c>
      <x:c r="E13" s="145" t="str">
        <x:v>KRW</x:v>
      </x:c>
      <x:c r="F13" s="156" t="n">
        <x:v>1430</x:v>
      </x:c>
      <x:c r="G13" s="157" t="n">
        <x:f>SUMIFS('환율'!$C$5:$C$52,'환율'!$A$5:$A$52,A13,'환율'!$B$5:$B$52,E13)</x:f>
        <x:v>1</x:v>
      </x:c>
      <x:c r="H13" s="158" t="n">
        <x:f>SUMIFS('환율'!$D$5:$D$52,'환율'!$A$5:$A$52,A13,'환율'!$B$5:$B$52,E13)</x:f>
        <x:v>1</x:v>
      </x:c>
      <x:c r="I13" s="157" t="n">
        <x:v>1</x:v>
      </x:c>
      <x:c r="J13" s="148" t="n">
        <x:f>IF(I13=1,ROUNDDOWN(F13*H13/G13,0),0)</x:f>
        <x:v>1430</x:v>
      </x:c>
      <x:c r="K13" s="145" t="str">
        <x:v>영세율</x:v>
      </x:c>
      <x:c r="L13" s="145" t="str">
        <x:v>Play Console 원화 보고서</x:v>
      </x:c>
    </x:row>
    <x:row r="14" ht="15" hidden="0" customHeight="1">
      <x:c r="A14" s="155" t="n">
        <x:v>46081</x:v>
      </x:c>
      <x:c r="B14" s="145" t="str">
        <x:v>Google</x:v>
      </x:c>
      <x:c r="C14" s="145" t="str">
        <x:v>인앱결제</x:v>
      </x:c>
      <x:c r="D14" s="145" t="str">
        <x:v>HK</x:v>
      </x:c>
      <x:c r="E14" s="145" t="str">
        <x:v>KRW</x:v>
      </x:c>
      <x:c r="F14" s="156" t="n">
        <x:v>7389</x:v>
      </x:c>
      <x:c r="G14" s="157" t="n">
        <x:f>SUMIFS('환율'!$C$5:$C$52,'환율'!$A$5:$A$52,A14,'환율'!$B$5:$B$52,E14)</x:f>
        <x:v>1</x:v>
      </x:c>
      <x:c r="H14" s="158" t="n">
        <x:f>SUMIFS('환율'!$D$5:$D$52,'환율'!$A$5:$A$52,A14,'환율'!$B$5:$B$52,E14)</x:f>
        <x:v>1</x:v>
      </x:c>
      <x:c r="I14" s="157" t="n">
        <x:v>1</x:v>
      </x:c>
      <x:c r="J14" s="148" t="n">
        <x:f>IF(I14=1,ROUNDDOWN(F14*H14/G14,0),0)</x:f>
        <x:v>7389</x:v>
      </x:c>
      <x:c r="K14" s="145" t="str">
        <x:v>영세율</x:v>
      </x:c>
      <x:c r="L14" s="145" t="str">
        <x:v>Play Console 원화 보고서</x:v>
      </x:c>
    </x:row>
    <x:row r="15" ht="15" hidden="0" customHeight="1">
      <x:c r="A15" s="155" t="n">
        <x:v>46053</x:v>
      </x:c>
      <x:c r="B15" s="145" t="str">
        <x:v>AdMob</x:v>
      </x:c>
      <x:c r="C15" s="145" t="str">
        <x:v>광고 확정수익</x:v>
      </x:c>
      <x:c r="D15" s="145" t="str">
        <x:v>해외</x:v>
      </x:c>
      <x:c r="E15" s="145" t="str">
        <x:v>USD</x:v>
      </x:c>
      <x:c r="F15" s="156" t="n">
        <x:v>20.27</x:v>
      </x:c>
      <x:c r="G15" s="157" t="n">
        <x:f>SUMIFS('환율'!$C$5:$C$52,'환율'!$A$5:$A$52,A15,'환율'!$B$5:$B$52,E15)</x:f>
        <x:v>1</x:v>
      </x:c>
      <x:c r="H15" s="158" t="n">
        <x:f>SUMIFS('환율'!$D$5:$D$52,'환율'!$A$5:$A$52,A15,'환율'!$B$5:$B$52,E15)</x:f>
        <x:v>1427</x:v>
      </x:c>
      <x:c r="I15" s="157" t="n">
        <x:v>1</x:v>
      </x:c>
      <x:c r="J15" s="148" t="n">
        <x:f>IF(I15=1,ROUNDDOWN(F15*H15/G15,0),0)</x:f>
        <x:v>28925</x:v>
      </x:c>
      <x:c r="K15" s="145" t="str">
        <x:v>영세율</x:v>
      </x:c>
      <x:c r="L15" s="145" t="str">
        <x:v>AdMob+AppLovin(NB)</x:v>
      </x:c>
    </x:row>
    <x:row r="16" ht="15" hidden="0" customHeight="1">
      <x:c r="A16" s="159" t="n">
        <x:v>46053</x:v>
      </x:c>
      <x:c r="B16" s="160" t="str">
        <x:v>AdMob</x:v>
      </x:c>
      <x:c r="C16" s="160" t="str">
        <x:v>전기 무효트래픽 조정</x:v>
      </x:c>
      <x:c r="D16" s="160" t="str">
        <x:v>해외</x:v>
      </x:c>
      <x:c r="E16" s="160" t="str">
        <x:v>USD</x:v>
      </x:c>
      <x:c r="F16" s="161" t="n">
        <x:v>-0.18</x:v>
      </x:c>
      <x:c r="G16" s="162" t="n">
        <x:f>SUMIFS('환율'!$C$5:$C$52,'환율'!$A$5:$A$52,A16,'환율'!$B$5:$B$52,E16)</x:f>
        <x:v>1</x:v>
      </x:c>
      <x:c r="H16" s="163" t="n">
        <x:f>SUMIFS('환율'!$D$5:$D$52,'환율'!$A$5:$A$52,A16,'환율'!$B$5:$B$52,E16)</x:f>
        <x:v>1427</x:v>
      </x:c>
      <x:c r="I16" s="162" t="n">
        <x:v>0</x:v>
      </x:c>
      <x:c r="J16" s="164" t="n">
        <x:f>IF(I16=1,ROUNDDOWN(F16*H16/G16,0),0)</x:f>
        <x:v>0</x:v>
      </x:c>
      <x:c r="K16" s="160" t="str">
        <x:v>제외</x:v>
      </x:c>
      <x:c r="L16" s="160" t="str">
        <x:v>2026-01-04 반영, 전기 조정</x:v>
      </x:c>
    </x:row>
    <x:row r="17" ht="15" hidden="0" customHeight="1">
      <x:c r="A17" s="155" t="n">
        <x:v>46081</x:v>
      </x:c>
      <x:c r="B17" s="145" t="str">
        <x:v>AdMob</x:v>
      </x:c>
      <x:c r="C17" s="145" t="str">
        <x:v>광고 확정수익</x:v>
      </x:c>
      <x:c r="D17" s="145" t="str">
        <x:v>해외</x:v>
      </x:c>
      <x:c r="E17" s="145" t="str">
        <x:v>USD</x:v>
      </x:c>
      <x:c r="F17" s="156" t="n">
        <x:v>20.3</x:v>
      </x:c>
      <x:c r="G17" s="157" t="n">
        <x:f>SUMIFS('환율'!$C$5:$C$52,'환율'!$A$5:$A$52,A17,'환율'!$B$5:$B$52,E17)</x:f>
        <x:v>1</x:v>
      </x:c>
      <x:c r="H17" s="158" t="n">
        <x:f>SUMIFS('환율'!$D$5:$D$52,'환율'!$A$5:$A$52,A17,'환율'!$B$5:$B$52,E17)</x:f>
        <x:v>1424.5</x:v>
      </x:c>
      <x:c r="I17" s="157" t="n">
        <x:v>1</x:v>
      </x:c>
      <x:c r="J17" s="148" t="n">
        <x:f>IF(I17=1,ROUNDDOWN(F17*H17/G17,0),0)</x:f>
        <x:v>28917</x:v>
      </x:c>
      <x:c r="K17" s="145" t="str">
        <x:v>영세율</x:v>
      </x:c>
      <x:c r="L17" s="145" t="str">
        <x:v>AdMob+AppLovin(NB)</x:v>
      </x:c>
    </x:row>
    <x:row r="18" ht="15" hidden="0" customHeight="1">
      <x:c r="A18" s="155" t="n">
        <x:v>46112</x:v>
      </x:c>
      <x:c r="B18" s="145" t="str">
        <x:v>AdMob</x:v>
      </x:c>
      <x:c r="C18" s="145" t="str">
        <x:v>광고 확정수익</x:v>
      </x:c>
      <x:c r="D18" s="145" t="str">
        <x:v>해외</x:v>
      </x:c>
      <x:c r="E18" s="145" t="str">
        <x:v>USD</x:v>
      </x:c>
      <x:c r="F18" s="156" t="n">
        <x:v>18.85</x:v>
      </x:c>
      <x:c r="G18" s="157" t="n">
        <x:f>SUMIFS('환율'!$C$5:$C$52,'환율'!$A$5:$A$52,A18,'환율'!$B$5:$B$52,E18)</x:f>
        <x:v>1</x:v>
      </x:c>
      <x:c r="H18" s="158" t="n">
        <x:f>SUMIFS('환율'!$D$5:$D$52,'환율'!$A$5:$A$52,A18,'환율'!$B$5:$B$52,E18)</x:f>
        <x:v>1513.4</x:v>
      </x:c>
      <x:c r="I18" s="157" t="n">
        <x:v>1</x:v>
      </x:c>
      <x:c r="J18" s="148" t="n">
        <x:f>IF(I18=1,ROUNDDOWN(F18*H18/G18,0),0)</x:f>
        <x:v>28527</x:v>
      </x:c>
      <x:c r="K18" s="145" t="str">
        <x:v>영세율</x:v>
      </x:c>
      <x:c r="L18" s="145" t="str">
        <x:v>AdMob+AppLovin(NB)</x:v>
      </x:c>
    </x:row>
    <x:row r="19" ht="15" hidden="0" customHeight="1">
      <x:c r="A19" s="155" t="n">
        <x:v>46142</x:v>
      </x:c>
      <x:c r="B19" s="145" t="str">
        <x:v>AdMob</x:v>
      </x:c>
      <x:c r="C19" s="145" t="str">
        <x:v>광고 확정수익</x:v>
      </x:c>
      <x:c r="D19" s="145" t="str">
        <x:v>해외</x:v>
      </x:c>
      <x:c r="E19" s="145" t="str">
        <x:v>USD</x:v>
      </x:c>
      <x:c r="F19" s="156" t="n">
        <x:v>3.52</x:v>
      </x:c>
      <x:c r="G19" s="157" t="n">
        <x:f>SUMIFS('환율'!$C$5:$C$52,'환율'!$A$5:$A$52,A19,'환율'!$B$5:$B$52,E19)</x:f>
        <x:v>1</x:v>
      </x:c>
      <x:c r="H19" s="158" t="n">
        <x:f>SUMIFS('환율'!$D$5:$D$52,'환율'!$A$5:$A$52,A19,'환율'!$B$5:$B$52,E19)</x:f>
        <x:v>1476.1</x:v>
      </x:c>
      <x:c r="I19" s="157" t="n">
        <x:v>1</x:v>
      </x:c>
      <x:c r="J19" s="148" t="n">
        <x:f>IF(I19=1,ROUNDDOWN(F19*H19/G19,0),0)</x:f>
        <x:v>5195</x:v>
      </x:c>
      <x:c r="K19" s="145" t="str">
        <x:v>영세율</x:v>
      </x:c>
      <x:c r="L19" s="145" t="str">
        <x:v>무효트래픽 조정 반영</x:v>
      </x:c>
    </x:row>
    <x:row r="20" ht="15" hidden="0" customHeight="1">
      <x:c r="A20" s="155" t="n">
        <x:v>46173</x:v>
      </x:c>
      <x:c r="B20" s="145" t="str">
        <x:v>AdMob</x:v>
      </x:c>
      <x:c r="C20" s="145" t="str">
        <x:v>광고 확정수익</x:v>
      </x:c>
      <x:c r="D20" s="145" t="str">
        <x:v>해외</x:v>
      </x:c>
      <x:c r="E20" s="145" t="str">
        <x:v>USD</x:v>
      </x:c>
      <x:c r="F20" s="156" t="n">
        <x:v>3.88</x:v>
      </x:c>
      <x:c r="G20" s="157" t="n">
        <x:f>SUMIFS('환율'!$C$5:$C$52,'환율'!$A$5:$A$52,A20,'환율'!$B$5:$B$52,E20)</x:f>
        <x:v>1</x:v>
      </x:c>
      <x:c r="H20" s="158" t="n">
        <x:f>SUMIFS('환율'!$D$5:$D$52,'환율'!$A$5:$A$52,A20,'환율'!$B$5:$B$52,E20)</x:f>
        <x:v>1505.8</x:v>
      </x:c>
      <x:c r="I20" s="157" t="n">
        <x:v>1</x:v>
      </x:c>
      <x:c r="J20" s="148" t="n">
        <x:f>IF(I20=1,ROUNDDOWN(F20*H20/G20,0),0)</x:f>
        <x:v>5842</x:v>
      </x:c>
      <x:c r="K20" s="145" t="str">
        <x:v>영세율</x:v>
      </x:c>
      <x:c r="L20" s="145" t="str">
        <x:v>AdSense 0.01 포함</x:v>
      </x:c>
    </x:row>
    <x:row r="21" ht="15" hidden="0" customHeight="1">
      <x:c r="A21" s="155" t="n">
        <x:v>46203</x:v>
      </x:c>
      <x:c r="B21" s="145" t="str">
        <x:v>AdMob</x:v>
      </x:c>
      <x:c r="C21" s="145" t="str">
        <x:v>광고 확정수익</x:v>
      </x:c>
      <x:c r="D21" s="145" t="str">
        <x:v>해외</x:v>
      </x:c>
      <x:c r="E21" s="145" t="str">
        <x:v>USD</x:v>
      </x:c>
      <x:c r="F21" s="156" t="n">
        <x:v>5.76</x:v>
      </x:c>
      <x:c r="G21" s="157" t="n">
        <x:f>SUMIFS('환율'!$C$5:$C$52,'환율'!$A$5:$A$52,A21,'환율'!$B$5:$B$52,E21)</x:f>
        <x:v>1</x:v>
      </x:c>
      <x:c r="H21" s="158" t="n">
        <x:f>SUMIFS('환율'!$D$5:$D$52,'환율'!$A$5:$A$52,A21,'환율'!$B$5:$B$52,E21)</x:f>
        <x:v>1541.5</x:v>
      </x:c>
      <x:c r="I21" s="157" t="n">
        <x:v>1</x:v>
      </x:c>
      <x:c r="J21" s="148" t="n">
        <x:f>IF(I21=1,ROUNDDOWN(F21*H21/G21,0),0)</x:f>
        <x:v>8879</x:v>
      </x:c>
      <x:c r="K21" s="145" t="str">
        <x:v>영세율</x:v>
      </x:c>
      <x:c r="L21" s="145" t="str">
        <x:v>AdSense 0.02 포함</x:v>
      </x:c>
    </x:row>
    <x:row r="22" ht="15" hidden="0" customHeight="1">
      <x:c r="A22" s="155" t="n">
        <x:v>46081</x:v>
      </x:c>
      <x:c r="B22" s="145" t="str">
        <x:v>Meta</x:v>
      </x:c>
      <x:c r="C22" s="145" t="str">
        <x:v>광고 확정수익</x:v>
      </x:c>
      <x:c r="D22" s="145" t="str">
        <x:v>해외</x:v>
      </x:c>
      <x:c r="E22" s="145" t="str">
        <x:v>USD</x:v>
      </x:c>
      <x:c r="F22" s="156" t="n">
        <x:v>0.07</x:v>
      </x:c>
      <x:c r="G22" s="157" t="n">
        <x:f>SUMIFS('환율'!$C$5:$C$52,'환율'!$A$5:$A$52,A22,'환율'!$B$5:$B$52,E22)</x:f>
        <x:v>1</x:v>
      </x:c>
      <x:c r="H22" s="158" t="n">
        <x:f>SUMIFS('환율'!$D$5:$D$52,'환율'!$A$5:$A$52,A22,'환율'!$B$5:$B$52,E22)</x:f>
        <x:v>1424.5</x:v>
      </x:c>
      <x:c r="I22" s="157" t="n">
        <x:v>1</x:v>
      </x:c>
      <x:c r="J22" s="148" t="n">
        <x:f>IF(I22=1,ROUNDDOWN(F22*H22/G22,0),0)</x:f>
        <x:v>99</x:v>
      </x:c>
      <x:c r="K22" s="145" t="str">
        <x:v>영세율</x:v>
      </x:c>
      <x:c r="L22" s="145" t="str">
        <x:v>Feb Statement</x:v>
      </x:c>
    </x:row>
    <x:row r="23" ht="15" hidden="0" customHeight="1">
      <x:c r="A23" s="155" t="n">
        <x:v>46112</x:v>
      </x:c>
      <x:c r="B23" s="145" t="str">
        <x:v>Meta</x:v>
      </x:c>
      <x:c r="C23" s="145" t="str">
        <x:v>광고 확정수익</x:v>
      </x:c>
      <x:c r="D23" s="145" t="str">
        <x:v>해외</x:v>
      </x:c>
      <x:c r="E23" s="145" t="str">
        <x:v>USD</x:v>
      </x:c>
      <x:c r="F23" s="156" t="n">
        <x:v>0.36</x:v>
      </x:c>
      <x:c r="G23" s="157" t="n">
        <x:f>SUMIFS('환율'!$C$5:$C$52,'환율'!$A$5:$A$52,A23,'환율'!$B$5:$B$52,E23)</x:f>
        <x:v>1</x:v>
      </x:c>
      <x:c r="H23" s="158" t="n">
        <x:f>SUMIFS('환율'!$D$5:$D$52,'환율'!$A$5:$A$52,A23,'환율'!$B$5:$B$52,E23)</x:f>
        <x:v>1513.4</x:v>
      </x:c>
      <x:c r="I23" s="157" t="n">
        <x:v>1</x:v>
      </x:c>
      <x:c r="J23" s="148" t="n">
        <x:f>IF(I23=1,ROUNDDOWN(F23*H23/G23,0),0)</x:f>
        <x:v>544</x:v>
      </x:c>
      <x:c r="K23" s="145" t="str">
        <x:v>영세율</x:v>
      </x:c>
      <x:c r="L23" s="145" t="str">
        <x:v>Mar Statement</x:v>
      </x:c>
    </x:row>
    <x:row r="24" ht="15" hidden="0" customHeight="1">
      <x:c r="A24" s="155" t="n">
        <x:v>46142</x:v>
      </x:c>
      <x:c r="B24" s="145" t="str">
        <x:v>Meta</x:v>
      </x:c>
      <x:c r="C24" s="145" t="str">
        <x:v>광고 확정수익</x:v>
      </x:c>
      <x:c r="D24" s="145" t="str">
        <x:v>해외</x:v>
      </x:c>
      <x:c r="E24" s="145" t="str">
        <x:v>USD</x:v>
      </x:c>
      <x:c r="F24" s="156" t="n">
        <x:v>0.01</x:v>
      </x:c>
      <x:c r="G24" s="157" t="n">
        <x:f>SUMIFS('환율'!$C$5:$C$52,'환율'!$A$5:$A$52,A24,'환율'!$B$5:$B$52,E24)</x:f>
        <x:v>1</x:v>
      </x:c>
      <x:c r="H24" s="158" t="n">
        <x:f>SUMIFS('환율'!$D$5:$D$52,'환율'!$A$5:$A$52,A24,'환율'!$B$5:$B$52,E24)</x:f>
        <x:v>1476.1</x:v>
      </x:c>
      <x:c r="I24" s="157" t="n">
        <x:v>1</x:v>
      </x:c>
      <x:c r="J24" s="148" t="n">
        <x:f>IF(I24=1,ROUNDDOWN(F24*H24/G24,0),0)</x:f>
        <x:v>14</x:v>
      </x:c>
      <x:c r="K24" s="145" t="str">
        <x:v>영세율</x:v>
      </x:c>
      <x:c r="L24" s="145" t="str">
        <x:v>Apr Statement</x:v>
      </x:c>
    </x:row>
    <x:row r="25" ht="15" hidden="0" customHeight="1">
      <x:c r="A25" s="145"/>
      <x:c r="B25" s="145"/>
      <x:c r="C25" s="145"/>
      <x:c r="D25" s="145"/>
      <x:c r="E25" s="145"/>
      <x:c r="F25" s="145"/>
      <x:c r="G25" s="145"/>
      <x:c r="H25" s="145"/>
      <x:c r="I25" s="145"/>
      <x:c r="J25" s="145"/>
      <x:c r="K25" s="145"/>
      <x:c r="L25" s="145"/>
    </x:row>
    <x:row r="26" ht="15.600000381469727" hidden="0" customHeight="1">
      <x:c r="A26" s="165" t="str">
        <x:v>영세율 공급가액 합계</x:v>
      </x:c>
      <x:c r="B26" s="165" t="str">
        <x:v>영세율 공급가액 합계</x:v>
      </x:c>
      <x:c r="C26" s="165" t="str">
        <x:v>영세율 공급가액 합계</x:v>
      </x:c>
      <x:c r="D26" s="165" t="str">
        <x:v>영세율 공급가액 합계</x:v>
      </x:c>
      <x:c r="E26" s="165" t="str">
        <x:v>영세율 공급가액 합계</x:v>
      </x:c>
      <x:c r="F26" s="165" t="str">
        <x:v>영세율 공급가액 합계</x:v>
      </x:c>
      <x:c r="G26" s="165" t="str">
        <x:v>영세율 공급가액 합계</x:v>
      </x:c>
      <x:c r="H26" s="165" t="str">
        <x:v>영세율 공급가액 합계</x:v>
      </x:c>
      <x:c r="I26" s="165" t="str">
        <x:v>영세율 공급가액 합계</x:v>
      </x:c>
      <x:c r="J26" s="166" t="n">
        <x:f>SUM(J7:J24)</x:f>
        <x:v>287902</x:v>
      </x:c>
      <x:c r="K26" s="166"/>
      <x:c r="L26" s="166"/>
    </x:row>
    <x:row r="27" ht="15" hidden="0" customHeight="1">
      <x:c r="A27" s="145"/>
      <x:c r="B27" s="145"/>
      <x:c r="C27" s="145"/>
      <x:c r="D27" s="145"/>
      <x:c r="E27" s="145"/>
      <x:c r="F27" s="145"/>
      <x:c r="G27" s="145"/>
      <x:c r="H27" s="145"/>
      <x:c r="I27" s="145"/>
      <x:c r="J27" s="145"/>
      <x:c r="K27" s="145"/>
      <x:c r="L27" s="145"/>
    </x:row>
    <x:row r="28" ht="15" hidden="0" customHeight="1">
      <x:c r="A28" s="39" t="str">
        <x:v>플랫폼</x:v>
      </x:c>
      <x:c r="B28" s="39" t="str">
        <x:v>Apple</x:v>
      </x:c>
      <x:c r="C28" s="39" t="str">
        <x:v>Google</x:v>
      </x:c>
      <x:c r="D28" s="39" t="str">
        <x:v>AdMob</x:v>
      </x:c>
      <x:c r="E28" s="39" t="str">
        <x:v>Meta</x:v>
      </x:c>
      <x:c r="F28" s="39" t="str"/>
      <x:c r="G28" s="39" t="str"/>
      <x:c r="H28" s="39" t="str"/>
      <x:c r="I28" s="39" t="str"/>
      <x:c r="J28" s="39" t="str">
        <x:v>합계</x:v>
      </x:c>
      <x:c r="K28" s="145"/>
      <x:c r="L28" s="145"/>
    </x:row>
    <x:row r="29" ht="15" hidden="0" customHeight="1">
      <x:c r="A29" s="145"/>
      <x:c r="B29" s="145"/>
      <x:c r="C29" s="145"/>
      <x:c r="D29" s="145"/>
      <x:c r="E29" s="145"/>
      <x:c r="F29" s="145"/>
      <x:c r="G29" s="145"/>
      <x:c r="H29" s="145"/>
      <x:c r="I29" s="147" t="str">
        <x:v>Apple</x:v>
      </x:c>
      <x:c r="J29" s="167" t="n">
        <x:f>SUMIFS($J$7:$J$24,$B$7:$B$24,I29)</x:f>
        <x:v>172141</x:v>
      </x:c>
      <x:c r="K29" s="145"/>
      <x:c r="L29" s="145"/>
    </x:row>
    <x:row r="30" ht="15" hidden="0" customHeight="1">
      <x:c r="A30" s="145"/>
      <x:c r="B30" s="145"/>
      <x:c r="C30" s="145"/>
      <x:c r="D30" s="145"/>
      <x:c r="E30" s="145"/>
      <x:c r="F30" s="145"/>
      <x:c r="G30" s="145"/>
      <x:c r="H30" s="145"/>
      <x:c r="I30" s="147" t="str">
        <x:v>Google</x:v>
      </x:c>
      <x:c r="J30" s="167" t="n">
        <x:f>SUMIFS($J$7:$J$24,$B$7:$B$24,I30)</x:f>
        <x:v>8819</x:v>
      </x:c>
      <x:c r="K30" s="145"/>
      <x:c r="L30" s="145"/>
    </x:row>
    <x:row r="31" ht="15" hidden="0" customHeight="1">
      <x:c r="A31" s="145"/>
      <x:c r="B31" s="145"/>
      <x:c r="C31" s="145"/>
      <x:c r="D31" s="145"/>
      <x:c r="E31" s="145"/>
      <x:c r="F31" s="145"/>
      <x:c r="G31" s="145"/>
      <x:c r="H31" s="145"/>
      <x:c r="I31" s="147" t="str">
        <x:v>AdMob</x:v>
      </x:c>
      <x:c r="J31" s="167" t="n">
        <x:f>SUMIFS($J$7:$J$24,$B$7:$B$24,I31)</x:f>
        <x:v>106285</x:v>
      </x:c>
      <x:c r="K31" s="145"/>
      <x:c r="L31" s="145"/>
    </x:row>
    <x:row r="32" ht="15" hidden="0" customHeight="1">
      <x:c r="A32" s="145"/>
      <x:c r="B32" s="145"/>
      <x:c r="C32" s="145"/>
      <x:c r="D32" s="145"/>
      <x:c r="E32" s="145"/>
      <x:c r="F32" s="145"/>
      <x:c r="G32" s="145"/>
      <x:c r="H32" s="145"/>
      <x:c r="I32" s="147" t="str">
        <x:v>Meta</x:v>
      </x:c>
      <x:c r="J32" s="167" t="n">
        <x:f>SUMIFS($J$7:$J$24,$B$7:$B$24,I32)</x:f>
        <x:v>657</x:v>
      </x:c>
      <x:c r="K32" s="145"/>
      <x:c r="L32" s="145"/>
    </x:row>
    <x:row r="33" ht="15" hidden="0" customHeight="1">
      <x:c r="A33" s="145"/>
      <x:c r="B33" s="145"/>
      <x:c r="C33" s="145"/>
      <x:c r="D33" s="145"/>
      <x:c r="E33" s="145"/>
      <x:c r="F33" s="145"/>
      <x:c r="G33" s="145"/>
      <x:c r="H33" s="145"/>
      <x:c r="I33" s="145"/>
      <x:c r="J33" s="145"/>
      <x:c r="K33" s="145"/>
      <x:c r="L33" s="145"/>
    </x:row>
    <x:row r="34" ht="34" customHeight="1">
      <x:c r="A34" s="93" t="str">
        <x:v>AdMob의 2026-01-04 무효트래픽 조정 -US$0.18은 2025년 말 잔액에 대한 전기 조정으로 보아 2026년 1기 확정수익에서 제외했습니다. 직접 AppLovin 수익은 0원이며, AdMob 안의 AppLovin(NB)은 포함했습니다.</x:v>
      </x:c>
      <x:c r="B34" s="93" t="str">
        <x:v>AdMob의 2026-01-04 무효트래픽 조정 -US$0.18은 2025년 말 잔액에 대한 전기 조정으로 보아 2026년 1기 확정수익에서 제외했습니다. 직접 AppLovin 수익은 0원이며, AdMob 안의 AppLovin(NB)은 포함했습니다.</x:v>
      </x:c>
      <x:c r="C34" s="93" t="str">
        <x:v>AdMob의 2026-01-04 무효트래픽 조정 -US$0.18은 2025년 말 잔액에 대한 전기 조정으로 보아 2026년 1기 확정수익에서 제외했습니다. 직접 AppLovin 수익은 0원이며, AdMob 안의 AppLovin(NB)은 포함했습니다.</x:v>
      </x:c>
      <x:c r="D34" s="93" t="str">
        <x:v>AdMob의 2026-01-04 무효트래픽 조정 -US$0.18은 2025년 말 잔액에 대한 전기 조정으로 보아 2026년 1기 확정수익에서 제외했습니다. 직접 AppLovin 수익은 0원이며, AdMob 안의 AppLovin(NB)은 포함했습니다.</x:v>
      </x:c>
      <x:c r="E34" s="93" t="str">
        <x:v>AdMob의 2026-01-04 무효트래픽 조정 -US$0.18은 2025년 말 잔액에 대한 전기 조정으로 보아 2026년 1기 확정수익에서 제외했습니다. 직접 AppLovin 수익은 0원이며, AdMob 안의 AppLovin(NB)은 포함했습니다.</x:v>
      </x:c>
      <x:c r="F34" s="93" t="str">
        <x:v>AdMob의 2026-01-04 무효트래픽 조정 -US$0.18은 2025년 말 잔액에 대한 전기 조정으로 보아 2026년 1기 확정수익에서 제외했습니다. 직접 AppLovin 수익은 0원이며, AdMob 안의 AppLovin(NB)은 포함했습니다.</x:v>
      </x:c>
      <x:c r="G34" s="93" t="str">
        <x:v>AdMob의 2026-01-04 무효트래픽 조정 -US$0.18은 2025년 말 잔액에 대한 전기 조정으로 보아 2026년 1기 확정수익에서 제외했습니다. 직접 AppLovin 수익은 0원이며, AdMob 안의 AppLovin(NB)은 포함했습니다.</x:v>
      </x:c>
      <x:c r="H34" s="93" t="str">
        <x:v>AdMob의 2026-01-04 무효트래픽 조정 -US$0.18은 2025년 말 잔액에 대한 전기 조정으로 보아 2026년 1기 확정수익에서 제외했습니다. 직접 AppLovin 수익은 0원이며, AdMob 안의 AppLovin(NB)은 포함했습니다.</x:v>
      </x:c>
      <x:c r="I34" s="93" t="str">
        <x:v>AdMob의 2026-01-04 무효트래픽 조정 -US$0.18은 2025년 말 잔액에 대한 전기 조정으로 보아 2026년 1기 확정수익에서 제외했습니다. 직접 AppLovin 수익은 0원이며, AdMob 안의 AppLovin(NB)은 포함했습니다.</x:v>
      </x:c>
      <x:c r="J34" s="93" t="str">
        <x:v>AdMob의 2026-01-04 무효트래픽 조정 -US$0.18은 2025년 말 잔액에 대한 전기 조정으로 보아 2026년 1기 확정수익에서 제외했습니다. 직접 AppLovin 수익은 0원이며, AdMob 안의 AppLovin(NB)은 포함했습니다.</x:v>
      </x:c>
      <x:c r="K34" s="93" t="str">
        <x:v>AdMob의 2026-01-04 무효트래픽 조정 -US$0.18은 2025년 말 잔액에 대한 전기 조정으로 보아 2026년 1기 확정수익에서 제외했습니다. 직접 AppLovin 수익은 0원이며, AdMob 안의 AppLovin(NB)은 포함했습니다.</x:v>
      </x:c>
      <x:c r="L34" s="93" t="str">
        <x:v>AdMob의 2026-01-04 무효트래픽 조정 -US$0.18은 2025년 말 잔액에 대한 전기 조정으로 보아 2026년 1기 확정수익에서 제외했습니다. 직접 AppLovin 수익은 0원이며, AdMob 안의 AppLovin(NB)은 포함했습니다.</x:v>
      </x:c>
    </x:row>
    <x:row r="35" ht="34" customHeight="1">
      <x:c r="A35" s="93" t="str">
        <x:v>AdMob의 2026-01-04 무효트래픽 조정 -US$0.18은 2025년 말 잔액에 대한 전기 조정으로 보아 2026년 1기 확정수익에서 제외했습니다. 직접 AppLovin 수익은 0원이며, AdMob 안의 AppLovin(NB)은 포함했습니다.</x:v>
      </x:c>
      <x:c r="B35" s="93" t="str">
        <x:v>AdMob의 2026-01-04 무효트래픽 조정 -US$0.18은 2025년 말 잔액에 대한 전기 조정으로 보아 2026년 1기 확정수익에서 제외했습니다. 직접 AppLovin 수익은 0원이며, AdMob 안의 AppLovin(NB)은 포함했습니다.</x:v>
      </x:c>
      <x:c r="C35" s="93" t="str">
        <x:v>AdMob의 2026-01-04 무효트래픽 조정 -US$0.18은 2025년 말 잔액에 대한 전기 조정으로 보아 2026년 1기 확정수익에서 제외했습니다. 직접 AppLovin 수익은 0원이며, AdMob 안의 AppLovin(NB)은 포함했습니다.</x:v>
      </x:c>
      <x:c r="D35" s="93" t="str">
        <x:v>AdMob의 2026-01-04 무효트래픽 조정 -US$0.18은 2025년 말 잔액에 대한 전기 조정으로 보아 2026년 1기 확정수익에서 제외했습니다. 직접 AppLovin 수익은 0원이며, AdMob 안의 AppLovin(NB)은 포함했습니다.</x:v>
      </x:c>
      <x:c r="E35" s="93" t="str">
        <x:v>AdMob의 2026-01-04 무효트래픽 조정 -US$0.18은 2025년 말 잔액에 대한 전기 조정으로 보아 2026년 1기 확정수익에서 제외했습니다. 직접 AppLovin 수익은 0원이며, AdMob 안의 AppLovin(NB)은 포함했습니다.</x:v>
      </x:c>
      <x:c r="F35" s="93" t="str">
        <x:v>AdMob의 2026-01-04 무효트래픽 조정 -US$0.18은 2025년 말 잔액에 대한 전기 조정으로 보아 2026년 1기 확정수익에서 제외했습니다. 직접 AppLovin 수익은 0원이며, AdMob 안의 AppLovin(NB)은 포함했습니다.</x:v>
      </x:c>
      <x:c r="G35" s="93" t="str">
        <x:v>AdMob의 2026-01-04 무효트래픽 조정 -US$0.18은 2025년 말 잔액에 대한 전기 조정으로 보아 2026년 1기 확정수익에서 제외했습니다. 직접 AppLovin 수익은 0원이며, AdMob 안의 AppLovin(NB)은 포함했습니다.</x:v>
      </x:c>
      <x:c r="H35" s="93" t="str">
        <x:v>AdMob의 2026-01-04 무효트래픽 조정 -US$0.18은 2025년 말 잔액에 대한 전기 조정으로 보아 2026년 1기 확정수익에서 제외했습니다. 직접 AppLovin 수익은 0원이며, AdMob 안의 AppLovin(NB)은 포함했습니다.</x:v>
      </x:c>
      <x:c r="I35" s="93" t="str">
        <x:v>AdMob의 2026-01-04 무효트래픽 조정 -US$0.18은 2025년 말 잔액에 대한 전기 조정으로 보아 2026년 1기 확정수익에서 제외했습니다. 직접 AppLovin 수익은 0원이며, AdMob 안의 AppLovin(NB)은 포함했습니다.</x:v>
      </x:c>
      <x:c r="J35" s="93" t="str">
        <x:v>AdMob의 2026-01-04 무효트래픽 조정 -US$0.18은 2025년 말 잔액에 대한 전기 조정으로 보아 2026년 1기 확정수익에서 제외했습니다. 직접 AppLovin 수익은 0원이며, AdMob 안의 AppLovin(NB)은 포함했습니다.</x:v>
      </x:c>
      <x:c r="K35" s="93" t="str">
        <x:v>AdMob의 2026-01-04 무효트래픽 조정 -US$0.18은 2025년 말 잔액에 대한 전기 조정으로 보아 2026년 1기 확정수익에서 제외했습니다. 직접 AppLovin 수익은 0원이며, AdMob 안의 AppLovin(NB)은 포함했습니다.</x:v>
      </x:c>
      <x:c r="L35" s="93" t="str">
        <x:v>AdMob의 2026-01-04 무효트래픽 조정 -US$0.18은 2025년 말 잔액에 대한 전기 조정으로 보아 2026년 1기 확정수익에서 제외했습니다. 직접 AppLovin 수익은 0원이며, AdMob 안의 AppLovin(NB)은 포함했습니다.</x:v>
      </x:c>
    </x:row>
  </x:sheetData>
  <x:mergeCells>
    <x:mergeCell ref="A1:L2"/>
    <x:mergeCell ref="A4:L4"/>
    <x:mergeCell ref="A26:I26"/>
    <x:mergeCell ref="J26:L26"/>
    <x:mergeCell ref="A34:L3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0" hidden="0" customWidth="1"/>
    <x:col min="3" max="3" width="16" hidden="0" customWidth="1"/>
    <x:col min="4" max="4" width="14" hidden="0" customWidth="1"/>
    <x:col min="5" max="5" width="12" hidden="0" customWidth="1"/>
    <x:col min="6" max="6" width="16" hidden="0" customWidth="1"/>
    <x:col min="7" max="7" width="18" hidden="0" customWidth="1"/>
  </x:cols>
  <x:sheetData>
    <x:row r="1" ht="30" customHeight="1">
      <x:c r="A1" s="144" t="str">
        <x:v>사업용 신용카드 매입세액</x:v>
      </x:c>
      <x:c r="B1" s="144" t="str">
        <x:v>사업용 신용카드 매입세액</x:v>
      </x:c>
      <x:c r="C1" s="144" t="str">
        <x:v>사업용 신용카드 매입세액</x:v>
      </x:c>
      <x:c r="D1" s="144" t="str">
        <x:v>사업용 신용카드 매입세액</x:v>
      </x:c>
      <x:c r="E1" s="144" t="str">
        <x:v>사업용 신용카드 매입세액</x:v>
      </x:c>
      <x:c r="F1" s="144" t="str">
        <x:v>사업용 신용카드 매입세액</x:v>
      </x:c>
      <x:c r="G1" s="144" t="str">
        <x:v>사업용 신용카드 매입세액</x:v>
      </x:c>
    </x:row>
    <x:row r="2" ht="30" customHeight="1">
      <x:c r="A2" s="144" t="str">
        <x:v>사업용 신용카드 매입세액</x:v>
      </x:c>
      <x:c r="B2" s="144" t="str">
        <x:v>사업용 신용카드 매입세액</x:v>
      </x:c>
      <x:c r="C2" s="144" t="str">
        <x:v>사업용 신용카드 매입세액</x:v>
      </x:c>
      <x:c r="D2" s="144" t="str">
        <x:v>사업용 신용카드 매입세액</x:v>
      </x:c>
      <x:c r="E2" s="144" t="str">
        <x:v>사업용 신용카드 매입세액</x:v>
      </x:c>
      <x:c r="F2" s="144" t="str">
        <x:v>사업용 신용카드 매입세액</x:v>
      </x:c>
      <x:c r="G2" s="144" t="str">
        <x:v>사업용 신용카드 매입세액</x:v>
      </x:c>
    </x:row>
    <x:row r="3" ht="15" hidden="0" customHeight="1">
      <x:c r="A3" s="145"/>
      <x:c r="B3" s="145"/>
      <x:c r="C3" s="145"/>
      <x:c r="D3" s="145"/>
      <x:c r="E3" s="145"/>
      <x:c r="F3" s="145"/>
      <x:c r="G3" s="145"/>
    </x:row>
    <x:row r="4" ht="26.399999618530273" hidden="0" customHeight="1">
      <x:c r="A4" s="53" t="str">
        <x:v>사용자가 18건 모두 사업 관련 매입이라고 확인했고 홈택스에서 전부 공제로 전환했습니다. 원본 다운로드 파일의 '선택불공제' 표시는 변경 전 상태입니다.</x:v>
      </x:c>
      <x:c r="B4" s="53" t="str">
        <x:v>사용자가 18건 모두 사업 관련 매입이라고 확인했고 홈택스에서 전부 공제로 전환했습니다. 원본 다운로드 파일의 '선택불공제' 표시는 변경 전 상태입니다.</x:v>
      </x:c>
      <x:c r="C4" s="53" t="str">
        <x:v>사용자가 18건 모두 사업 관련 매입이라고 확인했고 홈택스에서 전부 공제로 전환했습니다. 원본 다운로드 파일의 '선택불공제' 표시는 변경 전 상태입니다.</x:v>
      </x:c>
      <x:c r="D4" s="53" t="str">
        <x:v>사용자가 18건 모두 사업 관련 매입이라고 확인했고 홈택스에서 전부 공제로 전환했습니다. 원본 다운로드 파일의 '선택불공제' 표시는 변경 전 상태입니다.</x:v>
      </x:c>
      <x:c r="E4" s="53" t="str">
        <x:v>사용자가 18건 모두 사업 관련 매입이라고 확인했고 홈택스에서 전부 공제로 전환했습니다. 원본 다운로드 파일의 '선택불공제' 표시는 변경 전 상태입니다.</x:v>
      </x:c>
      <x:c r="F4" s="53" t="str">
        <x:v>사용자가 18건 모두 사업 관련 매입이라고 확인했고 홈택스에서 전부 공제로 전환했습니다. 원본 다운로드 파일의 '선택불공제' 표시는 변경 전 상태입니다.</x:v>
      </x:c>
      <x:c r="G4" s="53" t="str">
        <x:v>사용자가 18건 모두 사업 관련 매입이라고 확인했고 홈택스에서 전부 공제로 전환했습니다. 원본 다운로드 파일의 '선택불공제' 표시는 변경 전 상태입니다.</x:v>
      </x:c>
    </x:row>
    <x:row r="5" ht="15" hidden="0" customHeight="1">
      <x:c r="A5" s="145"/>
      <x:c r="B5" s="145"/>
      <x:c r="C5" s="145"/>
      <x:c r="D5" s="145"/>
      <x:c r="E5" s="145"/>
      <x:c r="F5" s="145"/>
      <x:c r="G5" s="145"/>
    </x:row>
    <x:row r="6" ht="15" hidden="0" customHeight="1">
      <x:c r="A6" s="39" t="str">
        <x:v>기간</x:v>
      </x:c>
      <x:c r="B6" s="39" t="str">
        <x:v>건수</x:v>
      </x:c>
      <x:c r="C6" s="39" t="str">
        <x:v>공급가액</x:v>
      </x:c>
      <x:c r="D6" s="39" t="str">
        <x:v>세액</x:v>
      </x:c>
      <x:c r="E6" s="39" t="str">
        <x:v>비과세</x:v>
      </x:c>
      <x:c r="F6" s="39" t="str">
        <x:v>합계</x:v>
      </x:c>
      <x:c r="G6" s="39" t="str">
        <x:v>최종 상태</x:v>
      </x:c>
    </x:row>
    <x:row r="7" ht="15" hidden="0" customHeight="1">
      <x:c r="A7" s="145" t="str">
        <x:v>2026-01-01~03-31</x:v>
      </x:c>
      <x:c r="B7" s="157" t="n">
        <x:v>8</x:v>
      </x:c>
      <x:c r="C7" s="148" t="n">
        <x:v>69429</x:v>
      </x:c>
      <x:c r="D7" s="148" t="n">
        <x:v>6941</x:v>
      </x:c>
      <x:c r="E7" s="148" t="n">
        <x:v>0</x:v>
      </x:c>
      <x:c r="F7" s="148" t="n">
        <x:v>76370</x:v>
      </x:c>
      <x:c r="G7" s="145" t="str">
        <x:v>모두 공제</x:v>
      </x:c>
    </x:row>
    <x:row r="8" ht="15" hidden="0" customHeight="1">
      <x:c r="A8" s="145" t="str">
        <x:v>2026-04-01~06-30</x:v>
      </x:c>
      <x:c r="B8" s="157" t="n">
        <x:v>10</x:v>
      </x:c>
      <x:c r="C8" s="148" t="n">
        <x:v>198477</x:v>
      </x:c>
      <x:c r="D8" s="148" t="n">
        <x:v>19845</x:v>
      </x:c>
      <x:c r="E8" s="148" t="n">
        <x:v>0</x:v>
      </x:c>
      <x:c r="F8" s="148" t="n">
        <x:v>218322</x:v>
      </x:c>
      <x:c r="G8" s="145" t="str">
        <x:v>모두 공제</x:v>
      </x:c>
    </x:row>
    <x:row r="9" ht="15" hidden="0" customHeight="1">
      <x:c r="A9" s="168" t="str">
        <x:v>합계</x:v>
      </x:c>
      <x:c r="B9" s="169" t="n">
        <x:f>SUM(B7:B8)</x:f>
        <x:v>18</x:v>
      </x:c>
      <x:c r="C9" s="170" t="n">
        <x:f>SUM(C7:C8)</x:f>
        <x:v>267906</x:v>
      </x:c>
      <x:c r="D9" s="170" t="n">
        <x:f>SUM(D7:D8)</x:f>
        <x:v>26786</x:v>
      </x:c>
      <x:c r="E9" s="170" t="n">
        <x:f>SUM(E7:E8)</x:f>
        <x:v>0</x:v>
      </x:c>
      <x:c r="F9" s="170" t="n">
        <x:f>SUM(F7:F8)</x:f>
        <x:v>294692</x:v>
      </x:c>
      <x:c r="G9" s="168" t="str">
        <x:v>18건 공제</x:v>
      </x:c>
    </x:row>
    <x:row r="10" ht="15" hidden="0" customHeight="1">
      <x:c r="A10" s="145"/>
      <x:c r="B10" s="145"/>
      <x:c r="C10" s="145"/>
      <x:c r="D10" s="145"/>
      <x:c r="E10" s="145"/>
      <x:c r="F10" s="145"/>
      <x:c r="G10" s="145"/>
    </x:row>
    <x:row r="11" ht="15" hidden="0" customHeight="1">
      <x:c r="A11" s="145"/>
      <x:c r="B11" s="145"/>
      <x:c r="C11" s="145"/>
      <x:c r="D11" s="145"/>
      <x:c r="E11" s="145"/>
      <x:c r="F11" s="145"/>
      <x:c r="G11" s="145"/>
    </x:row>
    <x:row r="12" ht="15" hidden="0" customHeight="1">
      <x:c r="A12" s="146" t="str">
        <x:v>홈택스 신고 반영값</x:v>
      </x:c>
      <x:c r="B12" s="146" t="str">
        <x:v>홈택스 신고 반영값</x:v>
      </x:c>
      <x:c r="C12" s="146" t="str">
        <x:v>홈택스 신고 반영값</x:v>
      </x:c>
      <x:c r="D12" s="146" t="str">
        <x:v>홈택스 신고 반영값</x:v>
      </x:c>
      <x:c r="E12" s="146" t="str">
        <x:v>홈택스 신고 반영값</x:v>
      </x:c>
      <x:c r="F12" s="146" t="str">
        <x:v>홈택스 신고 반영값</x:v>
      </x:c>
      <x:c r="G12" s="146" t="str">
        <x:v>홈택스 신고 반영값</x:v>
      </x:c>
    </x:row>
    <x:row r="13" ht="26.399999618530273" hidden="0" customHeight="1">
      <x:c r="A13" s="147" t="str">
        <x:v>신용카드매출전표등 수령명세 공급가액</x:v>
      </x:c>
      <x:c r="B13" s="171"/>
      <x:c r="C13" s="167" t="n">
        <x:f>C9</x:f>
        <x:v>267906</x:v>
      </x:c>
      <x:c r="D13" s="145"/>
      <x:c r="E13" s="145"/>
      <x:c r="F13" s="145"/>
      <x:c r="G13" s="145"/>
    </x:row>
    <x:row r="14" ht="15" hidden="0" customHeight="1">
      <x:c r="A14" s="147" t="str">
        <x:v>그 밖의 공제매입세액 세액</x:v>
      </x:c>
      <x:c r="B14" s="171"/>
      <x:c r="C14" s="167" t="n">
        <x:f>D9</x:f>
        <x:v>26786</x:v>
      </x:c>
      <x:c r="D14" s="145"/>
      <x:c r="E14" s="145"/>
      <x:c r="F14" s="145"/>
      <x:c r="G14" s="145"/>
    </x:row>
    <x:row r="15" ht="15" hidden="0" customHeight="1">
      <x:c r="A15" s="147" t="str">
        <x:v>불공제 매입세액</x:v>
      </x:c>
      <x:c r="B15" s="171"/>
      <x:c r="C15" s="167" t="n">
        <x:f>0</x:f>
        <x:v>0</x:v>
      </x:c>
      <x:c r="D15" s="145"/>
      <x:c r="E15" s="145"/>
      <x:c r="F15" s="145"/>
      <x:c r="G15" s="145"/>
    </x:row>
  </x:sheetData>
  <x:mergeCells>
    <x:mergeCell ref="A1:G2"/>
    <x:mergeCell ref="A4:G4"/>
    <x:mergeCell ref="A12:G1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0" hidden="0" customWidth="1"/>
    <x:col min="3" max="3" width="12" hidden="0" customWidth="1"/>
    <x:col min="4" max="4" width="14" hidden="0" customWidth="1"/>
    <x:col min="5" max="5" width="20" hidden="0" customWidth="1"/>
    <x:col min="6" max="6" width="20" hidden="0" customWidth="1"/>
  </x:cols>
  <x:sheetData>
    <x:row r="1" ht="30" customHeight="1">
      <x:c r="A1" s="144" t="str">
        <x:v>2026년 상반기 월말 기준환율</x:v>
      </x:c>
      <x:c r="B1" s="144" t="str">
        <x:v>2026년 상반기 월말 기준환율</x:v>
      </x:c>
      <x:c r="C1" s="144" t="str">
        <x:v>2026년 상반기 월말 기준환율</x:v>
      </x:c>
      <x:c r="D1" s="144" t="str">
        <x:v>2026년 상반기 월말 기준환율</x:v>
      </x:c>
      <x:c r="E1" s="144" t="str">
        <x:v>2026년 상반기 월말 기준환율</x:v>
      </x:c>
      <x:c r="F1" s="144" t="str">
        <x:v>2026년 상반기 월말 기준환율</x:v>
      </x:c>
    </x:row>
    <x:row r="2" ht="30" customHeight="1">
      <x:c r="A2" s="144" t="str">
        <x:v>2026년 상반기 월말 기준환율</x:v>
      </x:c>
      <x:c r="B2" s="144" t="str">
        <x:v>2026년 상반기 월말 기준환율</x:v>
      </x:c>
      <x:c r="C2" s="144" t="str">
        <x:v>2026년 상반기 월말 기준환율</x:v>
      </x:c>
      <x:c r="D2" s="144" t="str">
        <x:v>2026년 상반기 월말 기준환율</x:v>
      </x:c>
      <x:c r="E2" s="144" t="str">
        <x:v>2026년 상반기 월말 기준환율</x:v>
      </x:c>
      <x:c r="F2" s="144" t="str">
        <x:v>2026년 상반기 월말 기준환율</x:v>
      </x:c>
    </x:row>
    <x:row r="3" ht="15" hidden="0" customHeight="1">
      <x:c r="A3" s="53" t="str">
        <x:v>서울외국환중개(SMBS) 월말 매매기준율. JPY·VND는 100통화 단위, 나머지는 1통화 단위입니다.</x:v>
      </x:c>
      <x:c r="B3" s="53" t="str">
        <x:v>서울외국환중개(SMBS) 월말 매매기준율. JPY·VND는 100통화 단위, 나머지는 1통화 단위입니다.</x:v>
      </x:c>
      <x:c r="C3" s="53" t="str">
        <x:v>서울외국환중개(SMBS) 월말 매매기준율. JPY·VND는 100통화 단위, 나머지는 1통화 단위입니다.</x:v>
      </x:c>
      <x:c r="D3" s="53" t="str">
        <x:v>서울외국환중개(SMBS) 월말 매매기준율. JPY·VND는 100통화 단위, 나머지는 1통화 단위입니다.</x:v>
      </x:c>
      <x:c r="E3" s="53" t="str">
        <x:v>서울외국환중개(SMBS) 월말 매매기준율. JPY·VND는 100통화 단위, 나머지는 1통화 단위입니다.</x:v>
      </x:c>
      <x:c r="F3" s="53" t="str">
        <x:v>서울외국환중개(SMBS) 월말 매매기준율. JPY·VND는 100통화 단위, 나머지는 1통화 단위입니다.</x:v>
      </x:c>
    </x:row>
    <x:row r="4" ht="15" hidden="0" customHeight="1">
      <x:c r="A4" s="39" t="str">
        <x:v>월말</x:v>
      </x:c>
      <x:c r="B4" s="39" t="str">
        <x:v>통화</x:v>
      </x:c>
      <x:c r="C4" s="39" t="str">
        <x:v>환율 단위</x:v>
      </x:c>
      <x:c r="D4" s="39" t="str">
        <x:v>기준환율</x:v>
      </x:c>
      <x:c r="E4" s="39" t="str">
        <x:v>출처</x:v>
      </x:c>
      <x:c r="F4" s="39" t="str">
        <x:v>비고</x:v>
      </x:c>
    </x:row>
    <x:row r="5" ht="15" hidden="0" customHeight="1">
      <x:c r="A5" s="155" t="n">
        <x:v>46053</x:v>
      </x:c>
      <x:c r="B5" s="145" t="str">
        <x:v>USD</x:v>
      </x:c>
      <x:c r="C5" s="157" t="n">
        <x:v>1</x:v>
      </x:c>
      <x:c r="D5" s="158" t="n">
        <x:v>1427</x:v>
      </x:c>
      <x:c r="E5" s="145" t="str">
        <x:v>서울외국환중개</x:v>
      </x:c>
      <x:c r="F5" s="145" t="str">
        <x:v>월말 매매기준율</x:v>
      </x:c>
    </x:row>
    <x:row r="6" ht="15" hidden="0" customHeight="1">
      <x:c r="A6" s="155" t="n">
        <x:v>46081</x:v>
      </x:c>
      <x:c r="B6" s="145" t="str">
        <x:v>USD</x:v>
      </x:c>
      <x:c r="C6" s="157" t="n">
        <x:v>1</x:v>
      </x:c>
      <x:c r="D6" s="158" t="n">
        <x:v>1424.5</x:v>
      </x:c>
      <x:c r="E6" s="145" t="str">
        <x:v>서울외국환중개</x:v>
      </x:c>
      <x:c r="F6" s="145" t="str">
        <x:v>월말 매매기준율</x:v>
      </x:c>
    </x:row>
    <x:row r="7" ht="15" hidden="0" customHeight="1">
      <x:c r="A7" s="155" t="n">
        <x:v>46112</x:v>
      </x:c>
      <x:c r="B7" s="145" t="str">
        <x:v>USD</x:v>
      </x:c>
      <x:c r="C7" s="157" t="n">
        <x:v>1</x:v>
      </x:c>
      <x:c r="D7" s="158" t="n">
        <x:v>1513.4</x:v>
      </x:c>
      <x:c r="E7" s="145" t="str">
        <x:v>서울외국환중개</x:v>
      </x:c>
      <x:c r="F7" s="145" t="str">
        <x:v>월말 매매기준율</x:v>
      </x:c>
    </x:row>
    <x:row r="8" ht="15" hidden="0" customHeight="1">
      <x:c r="A8" s="155" t="n">
        <x:v>46142</x:v>
      </x:c>
      <x:c r="B8" s="145" t="str">
        <x:v>USD</x:v>
      </x:c>
      <x:c r="C8" s="157" t="n">
        <x:v>1</x:v>
      </x:c>
      <x:c r="D8" s="158" t="n">
        <x:v>1476.1</x:v>
      </x:c>
      <x:c r="E8" s="145" t="str">
        <x:v>서울외국환중개</x:v>
      </x:c>
      <x:c r="F8" s="145" t="str">
        <x:v>월말 매매기준율</x:v>
      </x:c>
    </x:row>
    <x:row r="9" ht="15" hidden="0" customHeight="1">
      <x:c r="A9" s="155" t="n">
        <x:v>46173</x:v>
      </x:c>
      <x:c r="B9" s="145" t="str">
        <x:v>USD</x:v>
      </x:c>
      <x:c r="C9" s="157" t="n">
        <x:v>1</x:v>
      </x:c>
      <x:c r="D9" s="158" t="n">
        <x:v>1505.8</x:v>
      </x:c>
      <x:c r="E9" s="145" t="str">
        <x:v>서울외국환중개</x:v>
      </x:c>
      <x:c r="F9" s="145" t="str">
        <x:v>월말 매매기준율</x:v>
      </x:c>
    </x:row>
    <x:row r="10" ht="15" hidden="0" customHeight="1">
      <x:c r="A10" s="155" t="n">
        <x:v>46203</x:v>
      </x:c>
      <x:c r="B10" s="145" t="str">
        <x:v>USD</x:v>
      </x:c>
      <x:c r="C10" s="157" t="n">
        <x:v>1</x:v>
      </x:c>
      <x:c r="D10" s="158" t="n">
        <x:v>1541.5</x:v>
      </x:c>
      <x:c r="E10" s="145" t="str">
        <x:v>서울외국환중개</x:v>
      </x:c>
      <x:c r="F10" s="145" t="str">
        <x:v>월말 매매기준율</x:v>
      </x:c>
    </x:row>
    <x:row r="11" ht="15" hidden="0" customHeight="1">
      <x:c r="A11" s="155" t="n">
        <x:v>46053</x:v>
      </x:c>
      <x:c r="B11" s="145" t="str">
        <x:v>JPY</x:v>
      </x:c>
      <x:c r="C11" s="157" t="n">
        <x:v>100</x:v>
      </x:c>
      <x:c r="D11" s="158" t="n">
        <x:v>932.89</x:v>
      </x:c>
      <x:c r="E11" s="145" t="str">
        <x:v>서울외국환중개</x:v>
      </x:c>
      <x:c r="F11" s="145" t="str">
        <x:v>월말 매매기준율</x:v>
      </x:c>
    </x:row>
    <x:row r="12" ht="15" hidden="0" customHeight="1">
      <x:c r="A12" s="155" t="n">
        <x:v>46081</x:v>
      </x:c>
      <x:c r="B12" s="145" t="str">
        <x:v>JPY</x:v>
      </x:c>
      <x:c r="C12" s="157" t="n">
        <x:v>100</x:v>
      </x:c>
      <x:c r="D12" s="158" t="n">
        <x:v>913.38</x:v>
      </x:c>
      <x:c r="E12" s="145" t="str">
        <x:v>서울외국환중개</x:v>
      </x:c>
      <x:c r="F12" s="145" t="str">
        <x:v>월말 매매기준율</x:v>
      </x:c>
    </x:row>
    <x:row r="13" ht="15" hidden="0" customHeight="1">
      <x:c r="A13" s="155" t="n">
        <x:v>46112</x:v>
      </x:c>
      <x:c r="B13" s="145" t="str">
        <x:v>JPY</x:v>
      </x:c>
      <x:c r="C13" s="157" t="n">
        <x:v>100</x:v>
      </x:c>
      <x:c r="D13" s="158" t="n">
        <x:v>946.73</x:v>
      </x:c>
      <x:c r="E13" s="145" t="str">
        <x:v>서울외국환중개</x:v>
      </x:c>
      <x:c r="F13" s="145" t="str">
        <x:v>월말 매매기준율</x:v>
      </x:c>
    </x:row>
    <x:row r="14" ht="15" hidden="0" customHeight="1">
      <x:c r="A14" s="155" t="n">
        <x:v>46142</x:v>
      </x:c>
      <x:c r="B14" s="145" t="str">
        <x:v>JPY</x:v>
      </x:c>
      <x:c r="C14" s="157" t="n">
        <x:v>100</x:v>
      </x:c>
      <x:c r="D14" s="158" t="n">
        <x:v>920.58</x:v>
      </x:c>
      <x:c r="E14" s="145" t="str">
        <x:v>서울외국환중개</x:v>
      </x:c>
      <x:c r="F14" s="145" t="str">
        <x:v>월말 매매기준율</x:v>
      </x:c>
    </x:row>
    <x:row r="15" ht="15" hidden="0" customHeight="1">
      <x:c r="A15" s="155" t="n">
        <x:v>46173</x:v>
      </x:c>
      <x:c r="B15" s="145" t="str">
        <x:v>JPY</x:v>
      </x:c>
      <x:c r="C15" s="157" t="n">
        <x:v>100</x:v>
      </x:c>
      <x:c r="D15" s="158" t="n">
        <x:v>945.56</x:v>
      </x:c>
      <x:c r="E15" s="145" t="str">
        <x:v>서울외국환중개</x:v>
      </x:c>
      <x:c r="F15" s="145" t="str">
        <x:v>월말 매매기준율</x:v>
      </x:c>
    </x:row>
    <x:row r="16" ht="15" hidden="0" customHeight="1">
      <x:c r="A16" s="155" t="n">
        <x:v>46203</x:v>
      </x:c>
      <x:c r="B16" s="145" t="str">
        <x:v>JPY</x:v>
      </x:c>
      <x:c r="C16" s="157" t="n">
        <x:v>100</x:v>
      </x:c>
      <x:c r="D16" s="158" t="n">
        <x:v>951.98</x:v>
      </x:c>
      <x:c r="E16" s="145" t="str">
        <x:v>서울외국환중개</x:v>
      </x:c>
      <x:c r="F16" s="145" t="str">
        <x:v>월말 매매기준율</x:v>
      </x:c>
    </x:row>
    <x:row r="17" ht="15" hidden="0" customHeight="1">
      <x:c r="A17" s="155" t="n">
        <x:v>46053</x:v>
      </x:c>
      <x:c r="B17" s="145" t="str">
        <x:v>CAD</x:v>
      </x:c>
      <x:c r="C17" s="157" t="n">
        <x:v>1</x:v>
      </x:c>
      <x:c r="D17" s="158" t="n">
        <x:v>1057.94</x:v>
      </x:c>
      <x:c r="E17" s="145" t="str">
        <x:v>서울외국환중개</x:v>
      </x:c>
      <x:c r="F17" s="145" t="str">
        <x:v>월말 매매기준율</x:v>
      </x:c>
    </x:row>
    <x:row r="18" ht="15" hidden="0" customHeight="1">
      <x:c r="A18" s="155" t="n">
        <x:v>46081</x:v>
      </x:c>
      <x:c r="B18" s="145" t="str">
        <x:v>CAD</x:v>
      </x:c>
      <x:c r="C18" s="157" t="n">
        <x:v>1</x:v>
      </x:c>
      <x:c r="D18" s="158" t="n">
        <x:v>1041.26</x:v>
      </x:c>
      <x:c r="E18" s="145" t="str">
        <x:v>서울외국환중개</x:v>
      </x:c>
      <x:c r="F18" s="145" t="str">
        <x:v>월말 매매기준율</x:v>
      </x:c>
    </x:row>
    <x:row r="19" ht="15" hidden="0" customHeight="1">
      <x:c r="A19" s="155" t="n">
        <x:v>46112</x:v>
      </x:c>
      <x:c r="B19" s="145" t="str">
        <x:v>CAD</x:v>
      </x:c>
      <x:c r="C19" s="157" t="n">
        <x:v>1</x:v>
      </x:c>
      <x:c r="D19" s="158" t="n">
        <x:v>1086.47</x:v>
      </x:c>
      <x:c r="E19" s="145" t="str">
        <x:v>서울외국환중개</x:v>
      </x:c>
      <x:c r="F19" s="145" t="str">
        <x:v>월말 매매기준율</x:v>
      </x:c>
    </x:row>
    <x:row r="20" ht="15" hidden="0" customHeight="1">
      <x:c r="A20" s="155" t="n">
        <x:v>46142</x:v>
      </x:c>
      <x:c r="B20" s="145" t="str">
        <x:v>CAD</x:v>
      </x:c>
      <x:c r="C20" s="157" t="n">
        <x:v>1</x:v>
      </x:c>
      <x:c r="D20" s="158" t="n">
        <x:v>1078.9</x:v>
      </x:c>
      <x:c r="E20" s="145" t="str">
        <x:v>서울외국환중개</x:v>
      </x:c>
      <x:c r="F20" s="145" t="str">
        <x:v>월말 매매기준율</x:v>
      </x:c>
    </x:row>
    <x:row r="21" ht="15" hidden="0" customHeight="1">
      <x:c r="A21" s="155" t="n">
        <x:v>46173</x:v>
      </x:c>
      <x:c r="B21" s="145" t="str">
        <x:v>CAD</x:v>
      </x:c>
      <x:c r="C21" s="157" t="n">
        <x:v>1</x:v>
      </x:c>
      <x:c r="D21" s="158" t="n">
        <x:v>1092.54</x:v>
      </x:c>
      <x:c r="E21" s="145" t="str">
        <x:v>서울외국환중개</x:v>
      </x:c>
      <x:c r="F21" s="145" t="str">
        <x:v>월말 매매기준율</x:v>
      </x:c>
    </x:row>
    <x:row r="22" ht="15" hidden="0" customHeight="1">
      <x:c r="A22" s="155" t="n">
        <x:v>46203</x:v>
      </x:c>
      <x:c r="B22" s="145" t="str">
        <x:v>CAD</x:v>
      </x:c>
      <x:c r="C22" s="157" t="n">
        <x:v>1</x:v>
      </x:c>
      <x:c r="D22" s="158" t="n">
        <x:v>1085.07</x:v>
      </x:c>
      <x:c r="E22" s="145" t="str">
        <x:v>서울외국환중개</x:v>
      </x:c>
      <x:c r="F22" s="145" t="str">
        <x:v>월말 매매기준율</x:v>
      </x:c>
    </x:row>
    <x:row r="23" ht="15" hidden="0" customHeight="1">
      <x:c r="A23" s="155" t="n">
        <x:v>46053</x:v>
      </x:c>
      <x:c r="B23" s="145" t="str">
        <x:v>GBP</x:v>
      </x:c>
      <x:c r="C23" s="157" t="n">
        <x:v>1</x:v>
      </x:c>
      <x:c r="D23" s="158" t="n">
        <x:v>1970.62</x:v>
      </x:c>
      <x:c r="E23" s="145" t="str">
        <x:v>서울외국환중개</x:v>
      </x:c>
      <x:c r="F23" s="145" t="str">
        <x:v>월말 매매기준율</x:v>
      </x:c>
    </x:row>
    <x:row r="24" ht="15" hidden="0" customHeight="1">
      <x:c r="A24" s="155" t="n">
        <x:v>46081</x:v>
      </x:c>
      <x:c r="B24" s="145" t="str">
        <x:v>GBP</x:v>
      </x:c>
      <x:c r="C24" s="157" t="n">
        <x:v>1</x:v>
      </x:c>
      <x:c r="D24" s="158" t="n">
        <x:v>1920.58</x:v>
      </x:c>
      <x:c r="E24" s="145" t="str">
        <x:v>서울외국환중개</x:v>
      </x:c>
      <x:c r="F24" s="145" t="str">
        <x:v>월말 매매기준율</x:v>
      </x:c>
    </x:row>
    <x:row r="25" ht="15" hidden="0" customHeight="1">
      <x:c r="A25" s="155" t="n">
        <x:v>46112</x:v>
      </x:c>
      <x:c r="B25" s="145" t="str">
        <x:v>GBP</x:v>
      </x:c>
      <x:c r="C25" s="157" t="n">
        <x:v>1</x:v>
      </x:c>
      <x:c r="D25" s="158" t="n">
        <x:v>1993.37</x:v>
      </x:c>
      <x:c r="E25" s="145" t="str">
        <x:v>서울외국환중개</x:v>
      </x:c>
      <x:c r="F25" s="145" t="str">
        <x:v>월말 매매기준율</x:v>
      </x:c>
    </x:row>
    <x:row r="26" ht="15" hidden="0" customHeight="1">
      <x:c r="A26" s="155" t="n">
        <x:v>46142</x:v>
      </x:c>
      <x:c r="B26" s="145" t="str">
        <x:v>GBP</x:v>
      </x:c>
      <x:c r="C26" s="157" t="n">
        <x:v>1</x:v>
      </x:c>
      <x:c r="D26" s="158" t="n">
        <x:v>1989.56</x:v>
      </x:c>
      <x:c r="E26" s="145" t="str">
        <x:v>서울외국환중개</x:v>
      </x:c>
      <x:c r="F26" s="145" t="str">
        <x:v>월말 매매기준율</x:v>
      </x:c>
    </x:row>
    <x:row r="27" ht="15" hidden="0" customHeight="1">
      <x:c r="A27" s="155" t="n">
        <x:v>46173</x:v>
      </x:c>
      <x:c r="B27" s="145" t="str">
        <x:v>GBP</x:v>
      </x:c>
      <x:c r="C27" s="157" t="n">
        <x:v>1</x:v>
      </x:c>
      <x:c r="D27" s="158" t="n">
        <x:v>2024.4</x:v>
      </x:c>
      <x:c r="E27" s="145" t="str">
        <x:v>서울외국환중개</x:v>
      </x:c>
      <x:c r="F27" s="145" t="str">
        <x:v>월말 매매기준율</x:v>
      </x:c>
    </x:row>
    <x:row r="28" ht="15" hidden="0" customHeight="1">
      <x:c r="A28" s="155" t="n">
        <x:v>46203</x:v>
      </x:c>
      <x:c r="B28" s="145" t="str">
        <x:v>GBP</x:v>
      </x:c>
      <x:c r="C28" s="157" t="n">
        <x:v>1</x:v>
      </x:c>
      <x:c r="D28" s="158" t="n">
        <x:v>2044.11</x:v>
      </x:c>
      <x:c r="E28" s="145" t="str">
        <x:v>서울외국환중개</x:v>
      </x:c>
      <x:c r="F28" s="145" t="str">
        <x:v>월말 매매기준율</x:v>
      </x:c>
    </x:row>
    <x:row r="29" ht="15" hidden="0" customHeight="1">
      <x:c r="A29" s="155" t="n">
        <x:v>46053</x:v>
      </x:c>
      <x:c r="B29" s="145" t="str">
        <x:v>TWD</x:v>
      </x:c>
      <x:c r="C29" s="157" t="n">
        <x:v>1</x:v>
      </x:c>
      <x:c r="D29" s="158" t="n">
        <x:v>45.5</x:v>
      </x:c>
      <x:c r="E29" s="145" t="str">
        <x:v>서울외국환중개</x:v>
      </x:c>
      <x:c r="F29" s="145" t="str">
        <x:v>월말 매매기준율</x:v>
      </x:c>
    </x:row>
    <x:row r="30" ht="15" hidden="0" customHeight="1">
      <x:c r="A30" s="155" t="n">
        <x:v>46081</x:v>
      </x:c>
      <x:c r="B30" s="145" t="str">
        <x:v>TWD</x:v>
      </x:c>
      <x:c r="C30" s="157" t="n">
        <x:v>1</x:v>
      </x:c>
      <x:c r="D30" s="158" t="n">
        <x:v>45.57</x:v>
      </x:c>
      <x:c r="E30" s="145" t="str">
        <x:v>서울외국환중개</x:v>
      </x:c>
      <x:c r="F30" s="145" t="str">
        <x:v>월말 매매기준율</x:v>
      </x:c>
    </x:row>
    <x:row r="31" ht="15" hidden="0" customHeight="1">
      <x:c r="A31" s="155" t="n">
        <x:v>46112</x:v>
      </x:c>
      <x:c r="B31" s="145" t="str">
        <x:v>TWD</x:v>
      </x:c>
      <x:c r="C31" s="157" t="n">
        <x:v>1</x:v>
      </x:c>
      <x:c r="D31" s="158" t="n">
        <x:v>47.21</x:v>
      </x:c>
      <x:c r="E31" s="145" t="str">
        <x:v>서울외국환중개</x:v>
      </x:c>
      <x:c r="F31" s="145" t="str">
        <x:v>월말 매매기준율</x:v>
      </x:c>
    </x:row>
    <x:row r="32" ht="15" hidden="0" customHeight="1">
      <x:c r="A32" s="155" t="n">
        <x:v>46142</x:v>
      </x:c>
      <x:c r="B32" s="145" t="str">
        <x:v>TWD</x:v>
      </x:c>
      <x:c r="C32" s="157" t="n">
        <x:v>1</x:v>
      </x:c>
      <x:c r="D32" s="158" t="n">
        <x:v>46.65</x:v>
      </x:c>
      <x:c r="E32" s="145" t="str">
        <x:v>서울외국환중개</x:v>
      </x:c>
      <x:c r="F32" s="145" t="str">
        <x:v>월말 매매기준율</x:v>
      </x:c>
    </x:row>
    <x:row r="33" ht="15" hidden="0" customHeight="1">
      <x:c r="A33" s="155" t="n">
        <x:v>46173</x:v>
      </x:c>
      <x:c r="B33" s="145" t="str">
        <x:v>TWD</x:v>
      </x:c>
      <x:c r="C33" s="157" t="n">
        <x:v>1</x:v>
      </x:c>
      <x:c r="D33" s="158" t="n">
        <x:v>47.92</x:v>
      </x:c>
      <x:c r="E33" s="145" t="str">
        <x:v>서울외국환중개</x:v>
      </x:c>
      <x:c r="F33" s="145" t="str">
        <x:v>월말 매매기준율</x:v>
      </x:c>
    </x:row>
    <x:row r="34" ht="15" hidden="0" customHeight="1">
      <x:c r="A34" s="155" t="n">
        <x:v>46203</x:v>
      </x:c>
      <x:c r="B34" s="145" t="str">
        <x:v>TWD</x:v>
      </x:c>
      <x:c r="C34" s="157" t="n">
        <x:v>1</x:v>
      </x:c>
      <x:c r="D34" s="158" t="n">
        <x:v>48.32</x:v>
      </x:c>
      <x:c r="E34" s="145" t="str">
        <x:v>서울외국환중개</x:v>
      </x:c>
      <x:c r="F34" s="145" t="str">
        <x:v>월말 매매기준율</x:v>
      </x:c>
    </x:row>
    <x:row r="35" ht="15" hidden="0" customHeight="1">
      <x:c r="A35" s="155" t="n">
        <x:v>46053</x:v>
      </x:c>
      <x:c r="B35" s="145" t="str">
        <x:v>THB</x:v>
      </x:c>
      <x:c r="C35" s="157" t="n">
        <x:v>1</x:v>
      </x:c>
      <x:c r="D35" s="158" t="n">
        <x:v>45.68</x:v>
      </x:c>
      <x:c r="E35" s="145" t="str">
        <x:v>서울외국환중개</x:v>
      </x:c>
      <x:c r="F35" s="145" t="str">
        <x:v>월말 매매기준율</x:v>
      </x:c>
    </x:row>
    <x:row r="36" ht="15" hidden="0" customHeight="1">
      <x:c r="A36" s="155" t="n">
        <x:v>46081</x:v>
      </x:c>
      <x:c r="B36" s="145" t="str">
        <x:v>THB</x:v>
      </x:c>
      <x:c r="C36" s="157" t="n">
        <x:v>1</x:v>
      </x:c>
      <x:c r="D36" s="158" t="n">
        <x:v>45.8</x:v>
      </x:c>
      <x:c r="E36" s="145" t="str">
        <x:v>서울외국환중개</x:v>
      </x:c>
      <x:c r="F36" s="145" t="str">
        <x:v>월말 매매기준율</x:v>
      </x:c>
    </x:row>
    <x:row r="37" ht="15" hidden="0" customHeight="1">
      <x:c r="A37" s="155" t="n">
        <x:v>46112</x:v>
      </x:c>
      <x:c r="B37" s="145" t="str">
        <x:v>THB</x:v>
      </x:c>
      <x:c r="C37" s="157" t="n">
        <x:v>1</x:v>
      </x:c>
      <x:c r="D37" s="158" t="n">
        <x:v>46.1</x:v>
      </x:c>
      <x:c r="E37" s="145" t="str">
        <x:v>서울외국환중개</x:v>
      </x:c>
      <x:c r="F37" s="145" t="str">
        <x:v>월말 매매기준율</x:v>
      </x:c>
    </x:row>
    <x:row r="38" ht="15" hidden="0" customHeight="1">
      <x:c r="A38" s="155" t="n">
        <x:v>46142</x:v>
      </x:c>
      <x:c r="B38" s="145" t="str">
        <x:v>THB</x:v>
      </x:c>
      <x:c r="C38" s="157" t="n">
        <x:v>1</x:v>
      </x:c>
      <x:c r="D38" s="158" t="n">
        <x:v>45.02</x:v>
      </x:c>
      <x:c r="E38" s="145" t="str">
        <x:v>서울외국환중개</x:v>
      </x:c>
      <x:c r="F38" s="145" t="str">
        <x:v>월말 매매기준율</x:v>
      </x:c>
    </x:row>
    <x:row r="39" ht="15" hidden="0" customHeight="1">
      <x:c r="A39" s="155" t="n">
        <x:v>46173</x:v>
      </x:c>
      <x:c r="B39" s="145" t="str">
        <x:v>THB</x:v>
      </x:c>
      <x:c r="C39" s="157" t="n">
        <x:v>1</x:v>
      </x:c>
      <x:c r="D39" s="158" t="n">
        <x:v>46.27</x:v>
      </x:c>
      <x:c r="E39" s="145" t="str">
        <x:v>서울외국환중개</x:v>
      </x:c>
      <x:c r="F39" s="145" t="str">
        <x:v>월말 매매기준율</x:v>
      </x:c>
    </x:row>
    <x:row r="40" ht="15" hidden="0" customHeight="1">
      <x:c r="A40" s="155" t="n">
        <x:v>46203</x:v>
      </x:c>
      <x:c r="B40" s="145" t="str">
        <x:v>THB</x:v>
      </x:c>
      <x:c r="C40" s="157" t="n">
        <x:v>1</x:v>
      </x:c>
      <x:c r="D40" s="158" t="n">
        <x:v>46.34</x:v>
      </x:c>
      <x:c r="E40" s="145" t="str">
        <x:v>서울외국환중개</x:v>
      </x:c>
      <x:c r="F40" s="145" t="str">
        <x:v>월말 매매기준율</x:v>
      </x:c>
    </x:row>
    <x:row r="41" ht="15" hidden="0" customHeight="1">
      <x:c r="A41" s="155" t="n">
        <x:v>46053</x:v>
      </x:c>
      <x:c r="B41" s="145" t="str">
        <x:v>VND</x:v>
      </x:c>
      <x:c r="C41" s="157" t="n">
        <x:v>100</x:v>
      </x:c>
      <x:c r="D41" s="158" t="n">
        <x:v>5.49</x:v>
      </x:c>
      <x:c r="E41" s="145" t="str">
        <x:v>서울외국환중개</x:v>
      </x:c>
      <x:c r="F41" s="145" t="str">
        <x:v>월말 매매기준율</x:v>
      </x:c>
    </x:row>
    <x:row r="42" ht="15" hidden="0" customHeight="1">
      <x:c r="A42" s="155" t="n">
        <x:v>46081</x:v>
      </x:c>
      <x:c r="B42" s="145" t="str">
        <x:v>VND</x:v>
      </x:c>
      <x:c r="C42" s="157" t="n">
        <x:v>100</x:v>
      </x:c>
      <x:c r="D42" s="158" t="n">
        <x:v>5.46</x:v>
      </x:c>
      <x:c r="E42" s="145" t="str">
        <x:v>서울외국환중개</x:v>
      </x:c>
      <x:c r="F42" s="145" t="str">
        <x:v>월말 매매기준율</x:v>
      </x:c>
    </x:row>
    <x:row r="43" ht="15" hidden="0" customHeight="1">
      <x:c r="A43" s="155" t="n">
        <x:v>46112</x:v>
      </x:c>
      <x:c r="B43" s="145" t="str">
        <x:v>VND</x:v>
      </x:c>
      <x:c r="C43" s="157" t="n">
        <x:v>100</x:v>
      </x:c>
      <x:c r="D43" s="158" t="n">
        <x:v>5.74</x:v>
      </x:c>
      <x:c r="E43" s="145" t="str">
        <x:v>서울외국환중개</x:v>
      </x:c>
      <x:c r="F43" s="145" t="str">
        <x:v>월말 매매기준율</x:v>
      </x:c>
    </x:row>
    <x:row r="44" ht="15" hidden="0" customHeight="1">
      <x:c r="A44" s="155" t="n">
        <x:v>46142</x:v>
      </x:c>
      <x:c r="B44" s="145" t="str">
        <x:v>VND</x:v>
      </x:c>
      <x:c r="C44" s="157" t="n">
        <x:v>100</x:v>
      </x:c>
      <x:c r="D44" s="158" t="n">
        <x:v>5.6</x:v>
      </x:c>
      <x:c r="E44" s="145" t="str">
        <x:v>서울외국환중개</x:v>
      </x:c>
      <x:c r="F44" s="145" t="str">
        <x:v>월말 매매기준율</x:v>
      </x:c>
    </x:row>
    <x:row r="45" ht="15" hidden="0" customHeight="1">
      <x:c r="A45" s="155" t="n">
        <x:v>46173</x:v>
      </x:c>
      <x:c r="B45" s="145" t="str">
        <x:v>VND</x:v>
      </x:c>
      <x:c r="C45" s="157" t="n">
        <x:v>100</x:v>
      </x:c>
      <x:c r="D45" s="158" t="n">
        <x:v>5.72</x:v>
      </x:c>
      <x:c r="E45" s="145" t="str">
        <x:v>서울외국환중개</x:v>
      </x:c>
      <x:c r="F45" s="145" t="str">
        <x:v>월말 매매기준율</x:v>
      </x:c>
    </x:row>
    <x:row r="46" ht="15" hidden="0" customHeight="1">
      <x:c r="A46" s="155" t="n">
        <x:v>46203</x:v>
      </x:c>
      <x:c r="B46" s="145" t="str">
        <x:v>VND</x:v>
      </x:c>
      <x:c r="C46" s="157" t="n">
        <x:v>100</x:v>
      </x:c>
      <x:c r="D46" s="158" t="n">
        <x:v>5.86</x:v>
      </x:c>
      <x:c r="E46" s="145" t="str">
        <x:v>서울외국환중개</x:v>
      </x:c>
      <x:c r="F46" s="145" t="str">
        <x:v>월말 매매기준율</x:v>
      </x:c>
    </x:row>
    <x:row r="47" ht="15" hidden="0" customHeight="1">
      <x:c r="A47" s="155" t="n">
        <x:v>46053</x:v>
      </x:c>
      <x:c r="B47" s="145" t="str">
        <x:v>KRW</x:v>
      </x:c>
      <x:c r="C47" s="157" t="n">
        <x:v>1</x:v>
      </x:c>
      <x:c r="D47" s="158" t="n">
        <x:v>1</x:v>
      </x:c>
      <x:c r="E47" s="145" t="str">
        <x:v>서울외국환중개</x:v>
      </x:c>
      <x:c r="F47" s="145" t="str">
        <x:v>원화 보고서용</x:v>
      </x:c>
    </x:row>
    <x:row r="48" ht="15" hidden="0" customHeight="1">
      <x:c r="A48" s="155" t="n">
        <x:v>46081</x:v>
      </x:c>
      <x:c r="B48" s="145" t="str">
        <x:v>KRW</x:v>
      </x:c>
      <x:c r="C48" s="157" t="n">
        <x:v>1</x:v>
      </x:c>
      <x:c r="D48" s="158" t="n">
        <x:v>1</x:v>
      </x:c>
      <x:c r="E48" s="145" t="str">
        <x:v>서울외국환중개</x:v>
      </x:c>
      <x:c r="F48" s="145" t="str">
        <x:v>원화 보고서용</x:v>
      </x:c>
    </x:row>
    <x:row r="49" ht="15" hidden="0" customHeight="1">
      <x:c r="A49" s="155" t="n">
        <x:v>46112</x:v>
      </x:c>
      <x:c r="B49" s="145" t="str">
        <x:v>KRW</x:v>
      </x:c>
      <x:c r="C49" s="157" t="n">
        <x:v>1</x:v>
      </x:c>
      <x:c r="D49" s="158" t="n">
        <x:v>1</x:v>
      </x:c>
      <x:c r="E49" s="145" t="str">
        <x:v>서울외국환중개</x:v>
      </x:c>
      <x:c r="F49" s="145" t="str">
        <x:v>원화 보고서용</x:v>
      </x:c>
    </x:row>
    <x:row r="50" ht="15" hidden="0" customHeight="1">
      <x:c r="A50" s="155" t="n">
        <x:v>46142</x:v>
      </x:c>
      <x:c r="B50" s="145" t="str">
        <x:v>KRW</x:v>
      </x:c>
      <x:c r="C50" s="157" t="n">
        <x:v>1</x:v>
      </x:c>
      <x:c r="D50" s="158" t="n">
        <x:v>1</x:v>
      </x:c>
      <x:c r="E50" s="145" t="str">
        <x:v>서울외국환중개</x:v>
      </x:c>
      <x:c r="F50" s="145" t="str">
        <x:v>원화 보고서용</x:v>
      </x:c>
    </x:row>
    <x:row r="51" ht="15" hidden="0" customHeight="1">
      <x:c r="A51" s="155" t="n">
        <x:v>46173</x:v>
      </x:c>
      <x:c r="B51" s="145" t="str">
        <x:v>KRW</x:v>
      </x:c>
      <x:c r="C51" s="157" t="n">
        <x:v>1</x:v>
      </x:c>
      <x:c r="D51" s="158" t="n">
        <x:v>1</x:v>
      </x:c>
      <x:c r="E51" s="145" t="str">
        <x:v>서울외국환중개</x:v>
      </x:c>
      <x:c r="F51" s="145" t="str">
        <x:v>원화 보고서용</x:v>
      </x:c>
    </x:row>
    <x:row r="52" ht="15" hidden="0" customHeight="1">
      <x:c r="A52" s="155" t="n">
        <x:v>46203</x:v>
      </x:c>
      <x:c r="B52" s="145" t="str">
        <x:v>KRW</x:v>
      </x:c>
      <x:c r="C52" s="157" t="n">
        <x:v>1</x:v>
      </x:c>
      <x:c r="D52" s="158" t="n">
        <x:v>1</x:v>
      </x:c>
      <x:c r="E52" s="145" t="str">
        <x:v>서울외국환중개</x:v>
      </x:c>
      <x:c r="F52" s="145" t="str">
        <x:v>원화 보고서용</x:v>
      </x:c>
    </x:row>
  </x:sheetData>
  <x:mergeCells>
    <x:mergeCell ref="A1:F2"/>
    <x:mergeCell ref="A3:F3"/>
  </x:mergeCells>
  <x:conditionalFormatting sqref="A5:F52">
    <x:cfRule type="expression" dxfId="0" priority="1">
      <x:formula>MOD(ROW(),2)=0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31" hidden="0" customWidth="1"/>
    <x:col min="3" max="3" width="36" hidden="0" customWidth="1"/>
    <x:col min="4" max="4" width="12" hidden="0" customWidth="1"/>
    <x:col min="5" max="5" width="30" hidden="0" customWidth="1"/>
    <x:col min="6" max="6" width="45" hidden="0" customWidth="1"/>
  </x:cols>
  <x:sheetData>
    <x:row r="1" ht="30" customHeight="1">
      <x:c r="A1" s="144" t="str">
        <x:v>신고 근거와 최종 체크리스트</x:v>
      </x:c>
      <x:c r="B1" s="144" t="str">
        <x:v>신고 근거와 최종 체크리스트</x:v>
      </x:c>
      <x:c r="C1" s="144" t="str">
        <x:v>신고 근거와 최종 체크리스트</x:v>
      </x:c>
      <x:c r="D1" s="144" t="str">
        <x:v>신고 근거와 최종 체크리스트</x:v>
      </x:c>
      <x:c r="E1" s="144" t="str">
        <x:v>신고 근거와 최종 체크리스트</x:v>
      </x:c>
      <x:c r="F1" s="144" t="str">
        <x:v>신고 근거와 최종 체크리스트</x:v>
      </x:c>
    </x:row>
    <x:row r="2" ht="30" customHeight="1">
      <x:c r="A2" s="144" t="str">
        <x:v>신고 근거와 최종 체크리스트</x:v>
      </x:c>
      <x:c r="B2" s="144" t="str">
        <x:v>신고 근거와 최종 체크리스트</x:v>
      </x:c>
      <x:c r="C2" s="144" t="str">
        <x:v>신고 근거와 최종 체크리스트</x:v>
      </x:c>
      <x:c r="D2" s="144" t="str">
        <x:v>신고 근거와 최종 체크리스트</x:v>
      </x:c>
      <x:c r="E2" s="144" t="str">
        <x:v>신고 근거와 최종 체크리스트</x:v>
      </x:c>
      <x:c r="F2" s="144" t="str">
        <x:v>신고 근거와 최종 체크리스트</x:v>
      </x:c>
    </x:row>
    <x:row r="3" ht="15" hidden="0" customHeight="1">
      <x:c r="A3" s="145"/>
      <x:c r="B3" s="145"/>
      <x:c r="C3" s="145"/>
      <x:c r="D3" s="145"/>
      <x:c r="E3" s="145"/>
      <x:c r="F3" s="145"/>
    </x:row>
    <x:row r="4" ht="15" hidden="0" customHeight="1">
      <x:c r="A4" s="93" t="str">
        <x:v>세법 판단이 필요한 부분은 '보수적 처리'로 표시했습니다. 홈택스 자동계산 결과가 다르면 해당 행부터 다시 확인하세요.</x:v>
      </x:c>
      <x:c r="B4" s="93" t="str">
        <x:v>세법 판단이 필요한 부분은 '보수적 처리'로 표시했습니다. 홈택스 자동계산 결과가 다르면 해당 행부터 다시 확인하세요.</x:v>
      </x:c>
      <x:c r="C4" s="93" t="str">
        <x:v>세법 판단이 필요한 부분은 '보수적 처리'로 표시했습니다. 홈택스 자동계산 결과가 다르면 해당 행부터 다시 확인하세요.</x:v>
      </x:c>
      <x:c r="D4" s="93" t="str">
        <x:v>세법 판단이 필요한 부분은 '보수적 처리'로 표시했습니다. 홈택스 자동계산 결과가 다르면 해당 행부터 다시 확인하세요.</x:v>
      </x:c>
      <x:c r="E4" s="93" t="str">
        <x:v>세법 판단이 필요한 부분은 '보수적 처리'로 표시했습니다. 홈택스 자동계산 결과가 다르면 해당 행부터 다시 확인하세요.</x:v>
      </x:c>
      <x:c r="F4" s="93" t="str">
        <x:v>세법 판단이 필요한 부분은 '보수적 처리'로 표시했습니다. 홈택스 자동계산 결과가 다르면 해당 행부터 다시 확인하세요.</x:v>
      </x:c>
    </x:row>
    <x:row r="5" ht="15" hidden="0" customHeight="1">
      <x:c r="A5" s="145"/>
      <x:c r="B5" s="145"/>
      <x:c r="C5" s="145"/>
      <x:c r="D5" s="145"/>
      <x:c r="E5" s="145"/>
      <x:c r="F5" s="145"/>
    </x:row>
    <x:row r="6" ht="15" hidden="0" customHeight="1">
      <x:c r="A6" s="39" t="str">
        <x:v>항목</x:v>
      </x:c>
      <x:c r="B6" s="39" t="str">
        <x:v>결정</x:v>
      </x:c>
      <x:c r="C6" s="39" t="str">
        <x:v>근거</x:v>
      </x:c>
      <x:c r="D6" s="39" t="str">
        <x:v>상태</x:v>
      </x:c>
      <x:c r="E6" s="39" t="str">
        <x:v>사용자 행동</x:v>
      </x:c>
      <x:c r="F6" s="39" t="str">
        <x:v>공식 출처</x:v>
      </x:c>
    </x:row>
    <x:row r="7" ht="15" hidden="0" customHeight="1">
      <x:c r="A7" s="145" t="str">
        <x:v>외화 공급시기</x:v>
      </x:c>
      <x:c r="B7" s="145" t="str">
        <x:v>월말</x:v>
      </x:c>
      <x:c r="C7" s="145" t="str">
        <x:v>플랫폼 월별 보고서 End Date</x:v>
      </x:c>
      <x:c r="D7" s="153" t="str">
        <x:v>반영</x:v>
      </x:c>
      <x:c r="E7" s="145" t="str">
        <x:v>월별 보고서 보관</x:v>
      </x:c>
      <x:c r="F7" s="145" t="str">
        <x:v>부가가치세법 시행령 제59조</x:v>
      </x:c>
    </x:row>
    <x:row r="8" ht="15" hidden="0" customHeight="1">
      <x:c r="A8" s="145" t="str">
        <x:v>외화 환산</x:v>
      </x:c>
      <x:c r="B8" s="145" t="str">
        <x:v>월말 기준환율</x:v>
      </x:c>
      <x:c r="C8" s="145" t="str">
        <x:v>미수 외화는 공급시기 환율로 환산</x:v>
      </x:c>
      <x:c r="D8" s="153" t="str">
        <x:v>반영</x:v>
      </x:c>
      <x:c r="E8" s="145" t="str">
        <x:v>환율 시트 보관</x:v>
      </x:c>
      <x:c r="F8" s="145" t="str">
        <x:v>서울외국환중개</x:v>
      </x:c>
    </x:row>
    <x:row r="9" ht="15" hidden="0" customHeight="1">
      <x:c r="A9" s="145" t="str">
        <x:v>Apple 중복</x:v>
      </x:c>
      <x:c r="B9" s="145" t="str">
        <x:v>홈택스 Apple 행 제외</x:v>
      </x:c>
      <x:c r="C9" s="145" t="str">
        <x:v>플랫폼 보고서로 국내·해외 재분류</x:v>
      </x:c>
      <x:c r="D9" s="153" t="str">
        <x:v>반영</x:v>
      </x:c>
      <x:c r="E9" s="145" t="str">
        <x:v>홈택스 자료는 대조용 보관</x:v>
      </x:c>
      <x:c r="F9" s="145" t="str">
        <x:v>내부 일관성 규칙</x:v>
      </x:c>
    </x:row>
    <x:row r="10" ht="15" hidden="0" customHeight="1">
      <x:c r="A10" s="145" t="str">
        <x:v>AdMob -0.18</x:v>
      </x:c>
      <x:c r="B10" s="145" t="str">
        <x:v>2026년 수익 제외</x:v>
      </x:c>
      <x:c r="C10" s="145" t="str">
        <x:v>2025년 말 잔액에 대한 전기 조정</x:v>
      </x:c>
      <x:c r="D10" s="153" t="str">
        <x:v>반영</x:v>
      </x:c>
      <x:c r="E10" s="145" t="str">
        <x:v>1월 CSV 보관</x:v>
      </x:c>
      <x:c r="F10" s="145" t="str">
        <x:v>플랫폼 거래내역</x:v>
      </x:c>
    </x:row>
    <x:row r="11" ht="15" hidden="0" customHeight="1">
      <x:c r="A11" s="145" t="str">
        <x:v>광고 입금</x:v>
      </x:c>
      <x:c r="B11" s="145" t="str">
        <x:v>입금일과 분리</x:v>
      </x:c>
      <x:c r="C11" s="145" t="str">
        <x:v>확정수익 발생월 기준</x:v>
      </x:c>
      <x:c r="D11" s="153" t="str">
        <x:v>반영</x:v>
      </x:c>
      <x:c r="E11" s="145" t="str">
        <x:v>반기 캡처/CSV 보관</x:v>
      </x:c>
      <x:c r="F11" s="145" t="str">
        <x:v>플랫폼 거래내역</x:v>
      </x:c>
    </x:row>
    <x:row r="12" ht="15" hidden="0" customHeight="1">
      <x:c r="A12" s="145" t="str">
        <x:v>사업용 카드</x:v>
      </x:c>
      <x:c r="B12" s="145" t="str">
        <x:v>18건 모두 공제</x:v>
      </x:c>
      <x:c r="C12" s="145" t="str">
        <x:v>사용자 사업 관련 확인</x:v>
      </x:c>
      <x:c r="D12" s="153" t="str">
        <x:v>반영</x:v>
      </x:c>
      <x:c r="E12" s="145" t="str">
        <x:v>홈택스 공제 상태 확인</x:v>
      </x:c>
      <x:c r="F12" s="145" t="str">
        <x:v>홈택스 매입세액 화면</x:v>
      </x:c>
    </x:row>
    <x:row r="13" ht="15" hidden="0" customHeight="1">
      <x:c r="A13" s="145" t="str">
        <x:v>전자신고 공제</x:v>
      </x:c>
      <x:c r="B13" s="145" t="str">
        <x:v>5,000원</x:v>
      </x:c>
      <x:c r="C13" s="145" t="str">
        <x:v>2026-02-27 시행령 개정</x:v>
      </x:c>
      <x:c r="D13" s="153" t="str">
        <x:v>반영</x:v>
      </x:c>
      <x:c r="E13" s="145" t="str">
        <x:v>자동계산값 확인</x:v>
      </x:c>
      <x:c r="F13" s="145" t="str">
        <x:v>조특법 시행령 제104조의5④</x:v>
      </x:c>
    </x:row>
    <x:row r="14" ht="15" hidden="0" customHeight="1">
      <x:c r="A14" s="172" t="str">
        <x:v>카드 발행 공제</x:v>
      </x:c>
      <x:c r="B14" s="172" t="str">
        <x:v>0원</x:v>
      </x:c>
      <x:c r="C14" s="172" t="str">
        <x:v>소프트웨어·정보서비스업 적격 불명확</x:v>
      </x:c>
      <x:c r="D14" s="173" t="str">
        <x:v>보수적</x:v>
      </x:c>
      <x:c r="E14" s="172" t="str">
        <x:v>홈택스가 자동 제시하면 검토</x:v>
      </x:c>
      <x:c r="F14" s="172" t="str">
        <x:v>부가세법 시행규칙 제53조</x:v>
      </x:c>
    </x:row>
    <x:row r="15" ht="15" hidden="0" customHeight="1">
      <x:c r="A15" s="145" t="str">
        <x:v>신고기한</x:v>
      </x:c>
      <x:c r="B15" s="145" t="str">
        <x:v>2026-07-27</x:v>
      </x:c>
      <x:c r="C15" s="145" t="str">
        <x:v>7월 25일이 토요일</x:v>
      </x:c>
      <x:c r="D15" s="153" t="str">
        <x:v>확인</x:v>
      </x:c>
      <x:c r="E15" s="145" t="str">
        <x:v>기한 전 제출·납부</x:v>
      </x:c>
      <x:c r="F15" s="145" t="str">
        <x:v>국세기본법 기한 규정</x:v>
      </x:c>
    </x:row>
    <x:row r="16" ht="15" hidden="0" customHeight="1">
      <x:c r="A16" s="145"/>
      <x:c r="B16" s="145"/>
      <x:c r="C16" s="145"/>
      <x:c r="D16" s="145"/>
      <x:c r="E16" s="145"/>
      <x:c r="F16" s="145"/>
    </x:row>
    <x:row r="17" ht="15" hidden="0" customHeight="1">
      <x:c r="A17" s="145"/>
      <x:c r="B17" s="145"/>
      <x:c r="C17" s="145"/>
      <x:c r="D17" s="145"/>
      <x:c r="E17" s="145"/>
      <x:c r="F17" s="145"/>
    </x:row>
    <x:row r="18" ht="15" hidden="0" customHeight="1">
      <x:c r="A18" s="146" t="str">
        <x:v>제출·보관 파일</x:v>
      </x:c>
      <x:c r="B18" s="146" t="str">
        <x:v>제출·보관 파일</x:v>
      </x:c>
      <x:c r="C18" s="146" t="str">
        <x:v>제출·보관 파일</x:v>
      </x:c>
      <x:c r="D18" s="146" t="str">
        <x:v>제출·보관 파일</x:v>
      </x:c>
      <x:c r="E18" s="146" t="str">
        <x:v>제출·보관 파일</x:v>
      </x:c>
      <x:c r="F18" s="146" t="str">
        <x:v>제출·보관 파일</x:v>
      </x:c>
    </x:row>
    <x:row r="19" ht="15" hidden="0" customHeight="1">
      <x:c r="A19" s="39" t="str">
        <x:v>구분</x:v>
      </x:c>
      <x:c r="B19" s="39" t="str">
        <x:v>필수 근거</x:v>
      </x:c>
      <x:c r="C19" s="39" t="str">
        <x:v>현재 상태</x:v>
      </x:c>
      <x:c r="D19" s="145"/>
      <x:c r="E19" s="145"/>
      <x:c r="F19" s="145"/>
    </x:row>
    <x:row r="20" ht="15" hidden="0" customHeight="1">
      <x:c r="A20" s="145" t="str">
        <x:v>홈택스 매출</x:v>
      </x:c>
      <x:c r="B20" s="145" t="str">
        <x:v>판매(결제)대행 매출자료</x:v>
      </x:c>
      <x:c r="C20" s="153" t="str">
        <x:v>확보</x:v>
      </x:c>
      <x:c r="D20" s="145"/>
      <x:c r="E20" s="145"/>
      <x:c r="F20" s="145"/>
    </x:row>
    <x:row r="21" ht="15" hidden="0" customHeight="1">
      <x:c r="A21" s="145" t="str">
        <x:v>Apple</x:v>
      </x:c>
      <x:c r="B21" s="145" t="str">
        <x:v>2026-01~06 Sales and Trends</x:v>
      </x:c>
      <x:c r="C21" s="153" t="str">
        <x:v>확보</x:v>
      </x:c>
      <x:c r="D21" s="145"/>
      <x:c r="E21" s="145"/>
      <x:c r="F21" s="145"/>
    </x:row>
    <x:row r="22" ht="15" hidden="0" customHeight="1">
      <x:c r="A22" s="145" t="str">
        <x:v>Google</x:v>
      </x:c>
      <x:c r="B22" s="145" t="str">
        <x:v>2026-01~02 PlayApps 보고서</x:v>
      </x:c>
      <x:c r="C22" s="153" t="str">
        <x:v>확보</x:v>
      </x:c>
      <x:c r="D22" s="145"/>
      <x:c r="E22" s="145"/>
      <x:c r="F22" s="145"/>
    </x:row>
    <x:row r="23" ht="15" hidden="0" customHeight="1">
      <x:c r="A23" s="145" t="str">
        <x:v>AdMob</x:v>
      </x:c>
      <x:c r="B23" s="145" t="str">
        <x:v>2026-01~06 거래 CSV/반기 화면</x:v>
      </x:c>
      <x:c r="C23" s="153" t="str">
        <x:v>확보</x:v>
      </x:c>
      <x:c r="D23" s="145"/>
      <x:c r="E23" s="145"/>
      <x:c r="F23" s="145"/>
    </x:row>
    <x:row r="24" ht="15" hidden="0" customHeight="1">
      <x:c r="A24" s="145" t="str">
        <x:v>Meta</x:v>
      </x:c>
      <x:c r="B24" s="145" t="str">
        <x:v>2026-02~04 Statement 화면</x:v>
      </x:c>
      <x:c r="C24" s="153" t="str">
        <x:v>캡처 확보</x:v>
      </x:c>
      <x:c r="D24" s="145"/>
      <x:c r="E24" s="145"/>
      <x:c r="F24" s="145"/>
    </x:row>
    <x:row r="25" ht="15" hidden="0" customHeight="1">
      <x:c r="A25" s="145" t="str">
        <x:v>매입</x:v>
      </x:c>
      <x:c r="B25" s="145" t="str">
        <x:v>사업용 신용카드 공제내역</x:v>
      </x:c>
      <x:c r="C25" s="153" t="str">
        <x:v>확보·공제 전환</x:v>
      </x:c>
      <x:c r="D25" s="145"/>
      <x:c r="E25" s="145"/>
      <x:c r="F25" s="145"/>
    </x:row>
    <x:row r="26" ht="15" hidden="0" customHeight="1">
      <x:c r="A26" s="145" t="str">
        <x:v>신고 후</x:v>
      </x:c>
      <x:c r="B26" s="145" t="str">
        <x:v>접수증·신고서 PDF·납부서</x:v>
      </x:c>
      <x:c r="C26" s="153" t="str">
        <x:v>신고 후 저장</x:v>
      </x:c>
      <x:c r="D26" s="145"/>
      <x:c r="E26" s="145"/>
      <x:c r="F26" s="145"/>
    </x:row>
    <x:row r="27" ht="15" hidden="0" customHeight="1">
      <x:c r="A27" s="145"/>
      <x:c r="B27" s="145"/>
      <x:c r="C27" s="145"/>
      <x:c r="D27" s="145"/>
      <x:c r="E27" s="145"/>
      <x:c r="F27" s="145"/>
    </x:row>
    <x:row r="28" ht="15" hidden="0" customHeight="1">
      <x:c r="A28" s="145"/>
      <x:c r="B28" s="145"/>
      <x:c r="C28" s="145"/>
      <x:c r="D28" s="145"/>
      <x:c r="E28" s="145"/>
      <x:c r="F28" s="145"/>
    </x:row>
    <x:row r="29" ht="15" hidden="0" customHeight="1">
      <x:c r="A29" s="146" t="str">
        <x:v>공식 링크</x:v>
      </x:c>
      <x:c r="B29" s="146" t="str">
        <x:v>공식 링크</x:v>
      </x:c>
      <x:c r="C29" s="146" t="str">
        <x:v>공식 링크</x:v>
      </x:c>
      <x:c r="D29" s="146" t="str">
        <x:v>공식 링크</x:v>
      </x:c>
      <x:c r="E29" s="146" t="str">
        <x:v>공식 링크</x:v>
      </x:c>
      <x:c r="F29" s="146" t="str">
        <x:v>공식 링크</x:v>
      </x:c>
    </x:row>
    <x:row r="30" ht="39.599998474121094" hidden="0" customHeight="1">
      <x:c r="A30" s="174" t="str">
        <x:v>외화 환산 법령</x:v>
      </x:c>
      <x:c r="B30" s="175" t="str">
        <x:v>https://www.law.go.kr/LSW/lsSideInfoP.do?docCls=jo&amp;joBrNo=00&amp;joNo=0059&amp;lsiSeq=283641&amp;urlMode=lsScJoRltInfoR</x:v>
      </x:c>
      <x:c r="C30" s="145"/>
      <x:c r="D30" s="145"/>
      <x:c r="E30" s="145"/>
      <x:c r="F30" s="145"/>
    </x:row>
    <x:row r="31" ht="26.399999618530273" hidden="0" customHeight="1">
      <x:c r="A31" s="174" t="str">
        <x:v>서울외국환중개 월말환율</x:v>
      </x:c>
      <x:c r="B31" s="175" t="str">
        <x:v>https://www.smbs.co.kr/Eng/ExRate/MonLastStdExRate.jsp</x:v>
      </x:c>
      <x:c r="C31" s="145"/>
      <x:c r="D31" s="145"/>
      <x:c r="E31" s="145"/>
      <x:c r="F31" s="145"/>
    </x:row>
    <x:row r="32" ht="39.599998474121094" hidden="0" customHeight="1">
      <x:c r="A32" s="174" t="str">
        <x:v>전자신고 세액공제</x:v>
      </x:c>
      <x:c r="B32" s="175" t="str">
        <x:v>https://www.law.go.kr/LSW/lsSideInfoP.do?docCls=jo&amp;joBrNo=05&amp;joNo=0104&amp;lsiSeq=286209&amp;urlMode=lsScJoRltInfoR</x:v>
      </x:c>
      <x:c r="C32" s="145"/>
      <x:c r="D32" s="145"/>
      <x:c r="E32" s="145"/>
      <x:c r="F32" s="145"/>
    </x:row>
  </x:sheetData>
  <x:mergeCells>
    <x:mergeCell ref="A1:F2"/>
    <x:mergeCell ref="A4:F4"/>
    <x:mergeCell ref="A18:F18"/>
    <x:mergeCell ref="A29:F29"/>
  </x:mergeCells>
  <x:pageMargins left="0.7" right="0.7" top="0.75" bottom="0.75" header="0.3" footer="0.3"/>
</x:worksheet>
</file>