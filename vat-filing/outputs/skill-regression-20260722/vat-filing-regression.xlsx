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268b335c9a4d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신고요약" sheetId="1" r:id="R4c843b1def93489a"/>
    <x:sheet xmlns:r="http://schemas.openxmlformats.org/officeDocument/2006/relationships" name="국내매출" sheetId="2" r:id="Rd84cdd50a1dd4ff3"/>
    <x:sheet xmlns:r="http://schemas.openxmlformats.org/officeDocument/2006/relationships" name="외화매출" sheetId="3" r:id="R5873053ffd0e4853"/>
    <x:sheet xmlns:r="http://schemas.openxmlformats.org/officeDocument/2006/relationships" name="매입세액" sheetId="4" r:id="Rfd4169a267fd4c2f"/>
    <x:sheet xmlns:r="http://schemas.openxmlformats.org/officeDocument/2006/relationships" name="환율" sheetId="5" r:id="Ra17f033801864c69"/>
    <x:sheet xmlns:r="http://schemas.openxmlformats.org/officeDocument/2006/relationships" name="근거·체크" sheetId="6" r:id="Rd302b2a8748f42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%"/>
    <x:numFmt numFmtId="201" formatCode="#,##0&quot;원&quot;;[Red]-#,##0&quot;원&quot;;0&quot;원&quot;"/>
    <x:numFmt numFmtId="202" formatCode="yyyy-mm-dd"/>
    <x:numFmt numFmtId="203" formatCode="#,##0;[Red]-#,##0;0"/>
    <x:numFmt numFmtId="204" formatCode="#,##0.00"/>
    <x:numFmt numFmtId="205" formatCode="#,##0.00;[Red]-#,##0.00;0.00"/>
  </x:numFmts>
  <x:fonts count="10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F2937"/>
      <x:name val="Carlito"/>
    </x:font>
    <x:font>
      <x:b/>
      <x:sz val="12"/>
      <x:color rgb="FF16324F"/>
      <x:name val="Carlito"/>
    </x:font>
    <x:font>
      <x:b/>
      <x:sz val="11"/>
      <x:color rgb="FF16324F"/>
      <x:name val="Carlito"/>
    </x:font>
    <x:font>
      <x:b/>
      <x:sz val="11"/>
      <x:color rgb="FFFFFFFF"/>
      <x:name val="Carlito"/>
    </x:font>
    <x:font>
      <x:sz val="11"/>
      <x:color rgb="FF2563EB"/>
      <x:name val="Carlito"/>
    </x:font>
    <x:font>
      <x:b/>
      <x:sz val="13"/>
      <x:color rgb="FFFFFFFF"/>
      <x:name val="Carlito"/>
    </x:font>
    <x:font>
      <x:b/>
      <x:sz val="14"/>
      <x:color rgb="FF16324F"/>
      <x:name val="Carlito"/>
    </x:font>
    <x:font>
      <x:b/>
      <x:sz val="11"/>
      <x:color rgb="FF0F766E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FF7E0"/>
      </x:patternFill>
    </x:fill>
    <x:fill>
      <x:patternFill patternType="solid">
        <x:fgColor rgb="FFEAF3F8"/>
      </x:patternFill>
    </x:fill>
    <x:fill>
      <x:patternFill patternType="solid">
        <x:fgColor rgb="FF0F766E"/>
      </x:patternFill>
    </x:fill>
    <x:fill>
      <x:patternFill patternType="solid">
        <x:fgColor rgb="FFEAF7EE"/>
      </x:patternFill>
    </x:fill>
    <x:fill>
      <x:patternFill patternType="solid">
        <x:fgColor rgb="FFE6F4F1"/>
      </x:patternFill>
    </x:fill>
  </x:fills>
  <x:borders count="6">
    <x:border/>
    <x:border>
      <x:left style="thin">
        <x:color rgb="FFD6E1E8"/>
      </x:left>
      <x:top style="thin">
        <x:color rgb="FFD6E1E8"/>
      </x:top>
      <x:bottom style="thin">
        <x:color rgb="FFD6E1E8"/>
      </x:bottom>
    </x:border>
    <x:border>
      <x:top style="thin">
        <x:color rgb="FFD6E1E8"/>
      </x:top>
      <x:bottom style="thin">
        <x:color rgb="FFD6E1E8"/>
      </x:bottom>
    </x:border>
    <x:border>
      <x:right style="thin">
        <x:color rgb="FFD6E1E8"/>
      </x:right>
      <x:top style="thin">
        <x:color rgb="FFD6E1E8"/>
      </x:top>
      <x:bottom style="thin">
        <x:color rgb="FFD6E1E8"/>
      </x:bottom>
    </x:border>
    <x:border>
      <x:left style="thin">
        <x:color rgb="FFD6E1E8"/>
      </x:left>
      <x:right style="thin">
        <x:color rgb="FFD6E1E8"/>
      </x:right>
      <x:top style="thin">
        <x:color rgb="FFD6E1E8"/>
      </x:top>
      <x:bottom style="thin">
        <x:color rgb="FFD6E1E8"/>
      </x:bottom>
    </x:border>
    <x:border>
      <x:left style="medium">
        <x:color rgb="FF0F766E"/>
      </x:left>
      <x:right style="medium">
        <x:color rgb="FF0F766E"/>
      </x:right>
      <x:top style="medium">
        <x:color rgb="FF0F766E"/>
      </x:top>
      <x:bottom style="medium">
        <x:color rgb="FF0F766E"/>
      </x:bottom>
    </x:border>
  </x:borders>
  <x:cellStyleXfs count="1">
    <x:xf numFmtId="0" fontId="0" fillId="0" borderId="0"/>
  </x:cellStyleXfs>
  <x:cellXfs count="10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4" borderId="4" xfId="0" applyNumberFormat="1" applyFont="1" applyFill="1" applyBorder="1" applyAlignment="1">
      <x:alignment vertical="center"/>
    </x:xf>
    <x:xf numFmtId="0" fontId="4" fillId="4" borderId="4" xfId="0" applyNumberFormat="1" applyFont="1" applyFill="1" applyBorder="1" applyAlignment="1">
      <x:alignment vertical="center"/>
    </x:xf>
    <x:xf numFmtId="200" fontId="0" fillId="0" borderId="4" xfId="0" applyNumberFormat="1" applyFont="1" applyFill="1" applyBorder="1" applyAlignment="1">
      <x:alignment vertical="center"/>
    </x:xf>
    <x:xf numFmtId="201" fontId="0" fillId="0" borderId="4" xfId="0" applyNumberFormat="1" applyFont="1" applyFill="1" applyBorder="1" applyAlignment="1">
      <x:alignment vertical="center"/>
    </x:xf>
    <x:xf numFmtId="0" fontId="4" fillId="3" borderId="4" xfId="0" applyNumberFormat="1" applyFont="1" applyFill="1" applyBorder="1" applyAlignment="1">
      <x:alignment vertical="center"/>
    </x:xf>
    <x:xf numFmtId="201" fontId="0" fillId="3" borderId="4" xfId="0" applyNumberFormat="1" applyFont="1" applyFill="1" applyBorder="1" applyAlignment="1">
      <x:alignment vertical="center"/>
    </x:xf>
    <x:xf numFmtId="0" fontId="0" fillId="3" borderId="4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4" xfId="0" applyNumberFormat="1" applyFont="1" applyFill="1" applyBorder="1"/>
    <x:xf numFmtId="0" fontId="5" fillId="5" borderId="4" xfId="0" applyNumberFormat="1" applyFont="1" applyFill="1" applyBorder="1" applyAlignment="1">
      <x:alignment wrapText="1"/>
    </x:xf>
    <x:xf numFmtId="0" fontId="5" fillId="5" borderId="4" xfId="0" applyNumberFormat="1" applyFont="1" applyFill="1" applyBorder="1" applyAlignment="1">
      <x:alignment horizontal="center" wrapText="1"/>
    </x:xf>
    <x:xf numFmtId="0" fontId="5" fillId="5" borderId="4" xfId="0" applyNumberFormat="1" applyFont="1" applyFill="1" applyBorder="1" applyAlignment="1">
      <x:alignment horizontal="center" vertical="center" wrapText="1"/>
    </x:xf>
    <x:xf numFmtId="0" fontId="6" fillId="0" borderId="4" xfId="0" applyNumberFormat="1" applyFont="1" applyFill="1" applyBorder="1" applyAlignment="1">
      <x:alignment vertical="center"/>
    </x:xf>
    <x:xf numFmtId="202" fontId="0" fillId="0" borderId="4" xfId="0" applyNumberFormat="1" applyFont="1" applyFill="1" applyBorder="1" applyAlignment="1">
      <x:alignment vertical="center"/>
    </x:xf>
    <x:xf numFmtId="0" fontId="0" fillId="3" borderId="4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4" borderId="4" xfId="0" applyNumberFormat="1" applyFont="1" applyFill="1" applyBorder="1" applyAlignment="1">
      <x:alignment vertical="center" wrapText="1"/>
    </x:xf>
    <x:xf numFmtId="200" fontId="0" fillId="0" borderId="4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201" fontId="0" fillId="0" borderId="4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vertical="center" wrapText="1"/>
    </x:xf>
    <x:xf numFmtId="201" fontId="0" fillId="3" borderId="4" xfId="0" applyNumberFormat="1" applyFont="1" applyFill="1" applyBorder="1" applyAlignment="1">
      <x:alignment vertical="center" wrapText="1"/>
    </x:xf>
    <x:xf numFmtId="0" fontId="0" fillId="3" borderId="4" xfId="0" applyNumberFormat="1" applyFont="1" applyFill="1" applyBorder="1" applyAlignment="1">
      <x:alignment vertical="center" wrapText="1"/>
    </x:xf>
    <x:xf numFmtId="0" fontId="6" fillId="0" borderId="4" xfId="0" applyNumberFormat="1" applyFont="1" applyFill="1" applyBorder="1" applyAlignment="1">
      <x:alignment vertical="center" wrapText="1"/>
    </x:xf>
    <x:xf numFmtId="202" fontId="0" fillId="0" borderId="4" xfId="0" applyNumberFormat="1" applyFont="1" applyFill="1" applyBorder="1" applyAlignment="1">
      <x:alignment vertical="center" wrapText="1"/>
    </x:xf>
    <x:xf numFmtId="0" fontId="0" fillId="3" borderId="4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1" xfId="0" applyNumberFormat="1" applyFont="1" applyFill="1" applyBorder="1"/>
    <x:xf numFmtId="0" fontId="2" fillId="6" borderId="2" xfId="0" applyNumberFormat="1" applyFont="1" applyFill="1" applyBorder="1"/>
    <x:xf numFmtId="0" fontId="2" fillId="6" borderId="3" xfId="0" applyNumberFormat="1" applyFont="1" applyFill="1" applyBorder="1"/>
    <x:xf numFmtId="0" fontId="2" fillId="6" borderId="1" xfId="0" applyNumberFormat="1" applyFont="1" applyFill="1" applyBorder="1" applyAlignment="1">
      <x:alignment wrapText="1"/>
    </x:xf>
    <x:xf numFmtId="0" fontId="2" fillId="6" borderId="2" xfId="0" applyNumberFormat="1" applyFont="1" applyFill="1" applyBorder="1" applyAlignment="1">
      <x:alignment wrapText="1"/>
    </x:xf>
    <x:xf numFmtId="0" fontId="2" fillId="6" borderId="3" xfId="0" applyNumberFormat="1" applyFont="1" applyFill="1" applyBorder="1" applyAlignment="1">
      <x:alignment wrapText="1"/>
    </x:xf>
    <x:xf numFmtId="0" fontId="2" fillId="6" borderId="1" xfId="0" applyNumberFormat="1" applyFont="1" applyFill="1" applyBorder="1" applyAlignment="1">
      <x:alignment vertical="center" wrapText="1"/>
    </x:xf>
    <x:xf numFmtId="0" fontId="2" fillId="6" borderId="2" xfId="0" applyNumberFormat="1" applyFont="1" applyFill="1" applyBorder="1" applyAlignment="1">
      <x:alignment vertical="center" wrapText="1"/>
    </x:xf>
    <x:xf numFmtId="0" fontId="2" fillId="6" borderId="3" xfId="0" applyNumberFormat="1" applyFont="1" applyFill="1" applyBorder="1" applyAlignment="1">
      <x:alignment vertical="center" wrapText="1"/>
    </x:xf>
    <x:xf numFmtId="203" fontId="0" fillId="0" borderId="4" xfId="0" applyNumberFormat="1" applyFont="1" applyFill="1" applyBorder="1" applyAlignment="1">
      <x:alignment vertical="center"/>
    </x:xf>
    <x:xf numFmtId="204" fontId="0" fillId="0" borderId="4" xfId="0" applyNumberFormat="1" applyFont="1" applyFill="1" applyBorder="1" applyAlignment="1">
      <x:alignment vertical="center"/>
    </x:xf>
    <x:xf numFmtId="203" fontId="0" fillId="0" borderId="4" xfId="0" applyNumberFormat="1" applyFont="1" applyFill="1" applyBorder="1" applyAlignment="1">
      <x:alignment vertical="center" wrapText="1"/>
    </x:xf>
    <x:xf numFmtId="204" fontId="0" fillId="0" borderId="4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/>
    <x:xf numFmtId="0" fontId="4" fillId="4" borderId="4" xfId="0" applyNumberFormat="1" applyFont="1" applyFill="1" applyBorder="1"/>
    <x:xf numFmtId="201" fontId="4" fillId="4" borderId="4" xfId="0" applyNumberFormat="1" applyFont="1" applyFill="1" applyBorder="1"/>
    <x:xf numFmtId="0" fontId="0" fillId="0" borderId="4" xfId="0" applyNumberFormat="1" applyFont="1" applyFill="1" applyBorder="1" applyAlignment="1">
      <x:alignment horizontal="center" vertical="center" wrapText="1"/>
    </x:xf>
    <x:xf numFmtId="0" fontId="4" fillId="4" borderId="4" xfId="0" applyNumberFormat="1" applyFont="1" applyFill="1" applyBorder="1" applyAlignment="1">
      <x:alignment wrapText="1"/>
    </x:xf>
    <x:xf numFmtId="201" fontId="4" fillId="4" borderId="4" xfId="0" applyNumberFormat="1" applyFont="1" applyFill="1" applyBorder="1" applyAlignment="1">
      <x:alignment wrapText="1"/>
    </x:xf>
    <x:xf numFmtId="205" fontId="0" fillId="0" borderId="4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right"/>
    </x:xf>
    <x:xf numFmtId="0" fontId="7" fillId="2" borderId="0" xfId="0" applyNumberFormat="1" applyFont="1" applyFill="1" applyBorder="1"/>
    <x:xf numFmtId="201" fontId="7" fillId="2" borderId="0" xfId="0" applyNumberFormat="1" applyFont="1" applyFill="1" applyBorder="1"/>
    <x:xf numFmtId="201" fontId="7" fillId="2" borderId="0" xfId="0" applyNumberFormat="1" applyFont="1" applyFill="1" applyBorder="1" applyAlignment="1">
      <x:alignment horizontal="right"/>
    </x:xf>
    <x:xf numFmtId="205" fontId="0" fillId="0" borderId="4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right" wrapText="1"/>
    </x:xf>
    <x:xf numFmtId="201" fontId="7" fillId="2" borderId="0" xfId="0" applyNumberFormat="1" applyFont="1" applyFill="1" applyBorder="1" applyAlignment="1">
      <x:alignment horizontal="right" wrapText="1"/>
    </x:xf>
    <x:xf numFmtId="0" fontId="5" fillId="2" borderId="4" xfId="0" applyNumberFormat="1" applyFont="1" applyFill="1" applyBorder="1"/>
    <x:xf numFmtId="203" fontId="5" fillId="2" borderId="4" xfId="0" applyNumberFormat="1" applyFont="1" applyFill="1" applyBorder="1"/>
    <x:xf numFmtId="201" fontId="5" fillId="2" borderId="4" xfId="0" applyNumberFormat="1" applyFont="1" applyFill="1" applyBorder="1"/>
    <x:xf numFmtId="0" fontId="5" fillId="2" borderId="4" xfId="0" applyNumberFormat="1" applyFont="1" applyFill="1" applyBorder="1" applyAlignment="1">
      <x:alignment wrapText="1"/>
    </x:xf>
    <x:xf numFmtId="203" fontId="5" fillId="2" borderId="4" xfId="0" applyNumberFormat="1" applyFont="1" applyFill="1" applyBorder="1" applyAlignment="1">
      <x:alignment wrapText="1"/>
    </x:xf>
    <x:xf numFmtId="201" fontId="5" fillId="2" borderId="4" xfId="0" applyNumberFormat="1" applyFont="1" applyFill="1" applyBorder="1" applyAlignment="1">
      <x:alignment wrapText="1"/>
    </x:xf>
    <x:xf numFmtId="0" fontId="0" fillId="4" borderId="4" xfId="0" applyNumberFormat="1" applyFont="1" applyFill="1" applyBorder="1"/>
    <x:xf numFmtId="201" fontId="0" fillId="0" borderId="4" xfId="0" applyNumberFormat="1" applyFont="1" applyFill="1" applyBorder="1"/>
    <x:xf numFmtId="201" fontId="0" fillId="3" borderId="4" xfId="0" applyNumberFormat="1" applyFont="1" applyFill="1" applyBorder="1"/>
    <x:xf numFmtId="201" fontId="8" fillId="3" borderId="4" xfId="0" applyNumberFormat="1" applyFont="1" applyFill="1" applyBorder="1"/>
    <x:xf numFmtId="201" fontId="8" fillId="3" borderId="5" xfId="0" applyNumberFormat="1" applyFont="1" applyFill="1" applyBorder="1"/>
    <x:xf numFmtId="0" fontId="0" fillId="6" borderId="4" xfId="0" applyNumberFormat="1" applyFont="1" applyFill="1" applyBorder="1"/>
    <x:xf numFmtId="0" fontId="9" fillId="6" borderId="4" xfId="0" applyNumberFormat="1" applyFont="1" applyFill="1" applyBorder="1"/>
    <x:xf numFmtId="0" fontId="9" fillId="6" borderId="4" xfId="0" applyNumberFormat="1" applyFont="1" applyFill="1" applyBorder="1" applyAlignment="1">
      <x:alignment horizontal="center"/>
    </x:xf>
    <x:xf numFmtId="0" fontId="0" fillId="7" borderId="4" xfId="0" applyNumberFormat="1" applyFont="1" applyFill="1" applyBorder="1" applyAlignment="1">
      <x:alignment vertical="center"/>
    </x:xf>
    <x:xf numFmtId="0" fontId="9" fillId="7" borderId="4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/>
    <x:xf numFmtId="0" fontId="4" fillId="3" borderId="5" xfId="0" applyNumberFormat="1" applyFont="1" applyFill="1" applyBorder="1"/>
    <x:xf numFmtId="0" fontId="4" fillId="3" borderId="5" xfId="0" applyNumberFormat="1" applyFont="1" applyFill="1" applyBorder="1" applyAlignment="1">
      <x:alignment wrapText="1"/>
    </x:xf>
    <x:xf numFmtId="0" fontId="4" fillId="3" borderId="5" xfId="0" applyNumberFormat="1" applyFont="1" applyFill="1" applyBorder="1" applyAlignment="1">
      <x:alignment vertical="center" wrapText="1"/>
    </x:xf>
    <x:xf numFmtId="201" fontId="0" fillId="0" borderId="4" xfId="0" applyNumberFormat="1" applyFont="1" applyFill="1" applyBorder="1" applyAlignment="1">
      <x:alignment wrapText="1"/>
    </x:xf>
    <x:xf numFmtId="0" fontId="9" fillId="7" borderId="4" xfId="0" applyNumberFormat="1" applyFont="1" applyFill="1" applyBorder="1" applyAlignment="1">
      <x:alignment vertical="center" wrapText="1"/>
    </x:xf>
    <x:xf numFmtId="201" fontId="8" fillId="3" borderId="5" xfId="0" applyNumberFormat="1" applyFont="1" applyFill="1" applyBorder="1" applyAlignment="1">
      <x:alignment wrapText="1"/>
    </x:xf>
    <x:xf numFmtId="0" fontId="9" fillId="6" borderId="4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1">
    <x:dxf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2bd210b15f4d44" /><Relationship Type="http://schemas.openxmlformats.org/officeDocument/2006/relationships/theme" Target="/xl/theme/theme1.xml" Id="Rfb7f12ec30764d50" /><Relationship Type="http://schemas.openxmlformats.org/officeDocument/2006/relationships/sharedStrings" Target="/xl/sharedStrings.xml" Id="Re80f45b7bec243f7" /><Relationship Type="http://schemas.openxmlformats.org/officeDocument/2006/relationships/worksheet" Target="/xl/worksheets/sheet1.xml" Id="R4c843b1def93489a" /><Relationship Type="http://schemas.openxmlformats.org/officeDocument/2006/relationships/worksheet" Target="/xl/worksheets/sheet2.xml" Id="Rd84cdd50a1dd4ff3" /><Relationship Type="http://schemas.openxmlformats.org/officeDocument/2006/relationships/worksheet" Target="/xl/worksheets/sheet3.xml" Id="R5873053ffd0e4853" /><Relationship Type="http://schemas.openxmlformats.org/officeDocument/2006/relationships/worksheet" Target="/xl/worksheets/sheet4.xml" Id="Rfd4169a267fd4c2f" /><Relationship Type="http://schemas.openxmlformats.org/officeDocument/2006/relationships/worksheet" Target="/xl/worksheets/sheet5.xml" Id="Ra17f033801864c69" /><Relationship Type="http://schemas.openxmlformats.org/officeDocument/2006/relationships/worksheet" Target="/xl/worksheets/sheet6.xml" Id="Rd302b2a8748f42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17" hidden="0" customWidth="1"/>
    <x:col min="4" max="4" width="14" hidden="0" customWidth="1"/>
    <x:col min="5" max="5" width="20" hidden="0" customWidth="1"/>
    <x:col min="6" max="6" width="36" hidden="0" customWidth="1"/>
    <x:col min="7" max="7" width="18" hidden="0" customWidth="1"/>
    <x:col min="8" max="8" width="18" hidden="0" customWidth="1"/>
  </x:cols>
  <x:sheetData>
    <x:row r="1" ht="30" customHeight="1">
      <x:c r="A1" s="36" t="str">
        <x:v>2026년 제1기 확정 부가가치세 신고 요약</x:v>
      </x:c>
      <x:c r="B1" s="36" t="str">
        <x:v>2026년 제1기 확정 부가가치세 신고 요약</x:v>
      </x:c>
      <x:c r="C1" s="36" t="str">
        <x:v>2026년 제1기 확정 부가가치세 신고 요약</x:v>
      </x:c>
      <x:c r="D1" s="36" t="str">
        <x:v>2026년 제1기 확정 부가가치세 신고 요약</x:v>
      </x:c>
      <x:c r="E1" s="36" t="str">
        <x:v>2026년 제1기 확정 부가가치세 신고 요약</x:v>
      </x:c>
      <x:c r="F1" s="36" t="str">
        <x:v>2026년 제1기 확정 부가가치세 신고 요약</x:v>
      </x:c>
      <x:c r="G1" s="36" t="str">
        <x:v>2026년 제1기 확정 부가가치세 신고 요약</x:v>
      </x:c>
      <x:c r="H1" s="36" t="str">
        <x:v>2026년 제1기 확정 부가가치세 신고 요약</x:v>
      </x:c>
    </x:row>
    <x:row r="2" ht="30" customHeight="1">
      <x:c r="A2" s="36" t="str">
        <x:v>2026년 제1기 확정 부가가치세 신고 요약</x:v>
      </x:c>
      <x:c r="B2" s="36" t="str">
        <x:v>2026년 제1기 확정 부가가치세 신고 요약</x:v>
      </x:c>
      <x:c r="C2" s="36" t="str">
        <x:v>2026년 제1기 확정 부가가치세 신고 요약</x:v>
      </x:c>
      <x:c r="D2" s="36" t="str">
        <x:v>2026년 제1기 확정 부가가치세 신고 요약</x:v>
      </x:c>
      <x:c r="E2" s="36" t="str">
        <x:v>2026년 제1기 확정 부가가치세 신고 요약</x:v>
      </x:c>
      <x:c r="F2" s="36" t="str">
        <x:v>2026년 제1기 확정 부가가치세 신고 요약</x:v>
      </x:c>
      <x:c r="G2" s="36" t="str">
        <x:v>2026년 제1기 확정 부가가치세 신고 요약</x:v>
      </x:c>
      <x:c r="H2" s="36" t="str">
        <x:v>2026년 제1기 확정 부가가치세 신고 요약</x:v>
      </x:c>
    </x:row>
    <x:row r="3" ht="15" hidden="0" customHeight="1">
      <x:c r="A3" s="37"/>
      <x:c r="B3" s="37"/>
      <x:c r="C3" s="37"/>
      <x:c r="D3" s="37"/>
      <x:c r="E3" s="37"/>
      <x:c r="F3" s="37"/>
      <x:c r="G3" s="37"/>
      <x:c r="H3" s="37"/>
    </x:row>
    <x:row r="4" ht="15" hidden="0" customHeight="1">
      <x:c r="A4" s="57" t="str">
        <x:v>이 계산은 정상 신고용 검토안입니다. 홈택스 자동계산 결과와 다르면 제출하지 말고 중복·공제·세액공제부터 다시 대조하세요.</x:v>
      </x:c>
      <x:c r="B4" s="58" t="str">
        <x:v>이 계산은 정상 신고용 검토안입니다. 홈택스 자동계산 결과와 다르면 제출하지 말고 중복·공제·세액공제부터 다시 대조하세요.</x:v>
      </x:c>
      <x:c r="C4" s="58" t="str">
        <x:v>이 계산은 정상 신고용 검토안입니다. 홈택스 자동계산 결과와 다르면 제출하지 말고 중복·공제·세액공제부터 다시 대조하세요.</x:v>
      </x:c>
      <x:c r="D4" s="58" t="str">
        <x:v>이 계산은 정상 신고용 검토안입니다. 홈택스 자동계산 결과와 다르면 제출하지 말고 중복·공제·세액공제부터 다시 대조하세요.</x:v>
      </x:c>
      <x:c r="E4" s="58" t="str">
        <x:v>이 계산은 정상 신고용 검토안입니다. 홈택스 자동계산 결과와 다르면 제출하지 말고 중복·공제·세액공제부터 다시 대조하세요.</x:v>
      </x:c>
      <x:c r="F4" s="58" t="str">
        <x:v>이 계산은 정상 신고용 검토안입니다. 홈택스 자동계산 결과와 다르면 제출하지 말고 중복·공제·세액공제부터 다시 대조하세요.</x:v>
      </x:c>
      <x:c r="G4" s="58" t="str">
        <x:v>이 계산은 정상 신고용 검토안입니다. 홈택스 자동계산 결과와 다르면 제출하지 말고 중복·공제·세액공제부터 다시 대조하세요.</x:v>
      </x:c>
      <x:c r="H4" s="59" t="str">
        <x:v>이 계산은 정상 신고용 검토안입니다. 홈택스 자동계산 결과와 다르면 제출하지 말고 중복·공제·세액공제부터 다시 대조하세요.</x:v>
      </x:c>
    </x:row>
    <x:row r="5" ht="15" hidden="0" customHeight="1">
      <x:c r="A5" s="37"/>
      <x:c r="B5" s="37"/>
      <x:c r="C5" s="37"/>
      <x:c r="D5" s="37"/>
      <x:c r="E5" s="37"/>
      <x:c r="F5" s="37"/>
      <x:c r="G5" s="37"/>
      <x:c r="H5" s="37"/>
    </x:row>
    <x:row r="6" ht="15" hidden="0" customHeight="1">
      <x:c r="A6" s="38" t="str">
        <x:v>핵심 계산</x:v>
      </x:c>
      <x:c r="B6" s="38" t="str">
        <x:v>핵심 계산</x:v>
      </x:c>
      <x:c r="C6" s="38" t="str">
        <x:v>핵심 계산</x:v>
      </x:c>
      <x:c r="D6" s="38" t="str">
        <x:v>핵심 계산</x:v>
      </x:c>
      <x:c r="E6" s="38" t="str">
        <x:v>신고 정보</x:v>
      </x:c>
      <x:c r="F6" s="38" t="str">
        <x:v>신고 정보</x:v>
      </x:c>
      <x:c r="G6" s="38" t="str">
        <x:v>신고 정보</x:v>
      </x:c>
      <x:c r="H6" s="38" t="str">
        <x:v>신고 정보</x:v>
      </x:c>
    </x:row>
    <x:row r="7" ht="15" hidden="0" customHeight="1">
      <x:c r="A7" s="69" t="str">
        <x:v>국내 과세 총결제액</x:v>
      </x:c>
      <x:c r="B7" s="100" t="n">
        <x:f>'국내매출'!D13</x:f>
        <x:v>368050</x:v>
      </x:c>
      <x:c r="C7" s="37"/>
      <x:c r="D7" s="37"/>
      <x:c r="E7" s="101" t="str">
        <x:v>납세자 구분</x:v>
      </x:c>
      <x:c r="F7" s="41" t="str">
        <x:v>개인 일반과세자</x:v>
      </x:c>
      <x:c r="G7" s="37"/>
      <x:c r="H7" s="37"/>
    </x:row>
    <x:row r="8" ht="15" hidden="0" customHeight="1">
      <x:c r="A8" s="69" t="str">
        <x:v>과세 공급가액</x:v>
      </x:c>
      <x:c r="B8" s="100" t="n">
        <x:f>'국내매출'!D14</x:f>
        <x:v>334590</x:v>
      </x:c>
      <x:c r="C8" s="37"/>
      <x:c r="D8" s="37"/>
      <x:c r="E8" s="101" t="str">
        <x:v>과세기간</x:v>
      </x:c>
      <x:c r="F8" s="41" t="str">
        <x:v>2026-01-01 ~ 2026-06-30</x:v>
      </x:c>
      <x:c r="G8" s="37"/>
      <x:c r="H8" s="37"/>
    </x:row>
    <x:row r="9" ht="15" hidden="0" customHeight="1">
      <x:c r="A9" s="69" t="str">
        <x:v>매출세액</x:v>
      </x:c>
      <x:c r="B9" s="100" t="n">
        <x:f>'국내매출'!D15</x:f>
        <x:v>33459</x:v>
      </x:c>
      <x:c r="C9" s="37"/>
      <x:c r="D9" s="37"/>
      <x:c r="E9" s="101" t="str">
        <x:v>신고기한</x:v>
      </x:c>
      <x:c r="F9" s="47" t="n">
        <x:v>46230</x:v>
      </x:c>
      <x:c r="G9" s="37"/>
      <x:c r="H9" s="37"/>
    </x:row>
    <x:row r="10" ht="15" hidden="0" customHeight="1">
      <x:c r="A10" s="69" t="str">
        <x:v>영세율 후보 공급가액</x:v>
      </x:c>
      <x:c r="B10" s="100" t="n">
        <x:f>'외화매출'!K26</x:f>
        <x:v>287902</x:v>
      </x:c>
      <x:c r="C10" s="37"/>
      <x:c r="D10" s="37"/>
      <x:c r="E10" s="101" t="str">
        <x:v>부가가치세율</x:v>
      </x:c>
      <x:c r="F10" s="40" t="n">
        <x:f>'근거·체크'!B7</x:f>
        <x:v>0.1</x:v>
      </x:c>
      <x:c r="G10" s="37"/>
      <x:c r="H10" s="37"/>
    </x:row>
    <x:row r="11" ht="26.399999618530273" hidden="0" customHeight="1">
      <x:c r="A11" s="69" t="str">
        <x:v>공제 매입세액</x:v>
      </x:c>
      <x:c r="B11" s="100" t="n">
        <x:f>'매입세액'!F12</x:f>
        <x:v>26786</x:v>
      </x:c>
      <x:c r="C11" s="37"/>
      <x:c r="D11" s="37"/>
      <x:c r="E11" s="101" t="str">
        <x:v>외화 공급시기</x:v>
      </x:c>
      <x:c r="F11" s="41" t="str">
        <x:v>플랫폼 월별 확정 보고서의 End Date를 공급시기로 사용</x:v>
      </x:c>
      <x:c r="G11" s="37"/>
      <x:c r="H11" s="37"/>
    </x:row>
    <x:row r="12" ht="26.399999618530273" hidden="0" customHeight="1">
      <x:c r="A12" s="69" t="str">
        <x:v>공제 전 납부세액</x:v>
      </x:c>
      <x:c r="B12" s="100" t="n">
        <x:f>B9-B11</x:f>
        <x:v>6673</x:v>
      </x:c>
      <x:c r="C12" s="37"/>
      <x:c r="D12" s="37"/>
      <x:c r="E12" s="101" t="str">
        <x:v>카드 발행공제</x:v>
      </x:c>
      <x:c r="F12" s="41" t="str">
        <x:v>소프트웨어·정보서비스업 적격성 확인 전 보수적으로 미적용</x:v>
      </x:c>
      <x:c r="G12" s="37"/>
      <x:c r="H12" s="37"/>
    </x:row>
    <x:row r="13" ht="15" hidden="0" customHeight="1">
      <x:c r="A13" s="69" t="str">
        <x:v>전자신고 세액공제</x:v>
      </x:c>
      <x:c r="B13" s="100" t="n">
        <x:f>'근거·체크'!B8</x:f>
        <x:v>5000</x:v>
      </x:c>
      <x:c r="C13" s="37"/>
      <x:c r="D13" s="37"/>
      <x:c r="E13" s="37"/>
      <x:c r="F13" s="37"/>
      <x:c r="G13" s="37"/>
      <x:c r="H13" s="37"/>
    </x:row>
    <x:row r="14" ht="15" hidden="0" customHeight="1">
      <x:c r="A14" s="69" t="str">
        <x:v>신용카드 발행세액공제</x:v>
      </x:c>
      <x:c r="B14" s="100" t="n">
        <x:f>'근거·체크'!B9</x:f>
        <x:v>0</x:v>
      </x:c>
      <x:c r="C14" s="37"/>
      <x:c r="D14" s="37"/>
      <x:c r="E14" s="37"/>
      <x:c r="F14" s="37"/>
      <x:c r="G14" s="37"/>
      <x:c r="H14" s="37"/>
    </x:row>
    <x:row r="15" ht="16.799999237060547" hidden="0" customHeight="1">
      <x:c r="A15" s="69" t="str">
        <x:v>예상 납부(+)·환급(-)</x:v>
      </x:c>
      <x:c r="B15" s="102" t="n">
        <x:f>B12-B13-B14</x:f>
        <x:v>1673</x:v>
      </x:c>
      <x:c r="C15" s="37"/>
      <x:c r="D15" s="37"/>
      <x:c r="E15" s="37"/>
      <x:c r="F15" s="37"/>
      <x:c r="G15" s="37"/>
      <x:c r="H15" s="37"/>
    </x:row>
    <x:row r="16" ht="15" hidden="0" customHeight="1">
      <x:c r="A16" s="69" t="str">
        <x:v>판정</x:v>
      </x:c>
      <x:c r="B16" s="103" t="str">
        <x:f>IF(B15&gt;0,"납부 예상",IF(B15&lt;0,"환급 예상","납부세액 없음"))</x:f>
        <x:v>납부 예상</x:v>
      </x:c>
      <x:c r="C16" s="37"/>
      <x:c r="D16" s="37"/>
      <x:c r="E16" s="37"/>
      <x:c r="F16" s="37"/>
      <x:c r="G16" s="37"/>
      <x:c r="H16" s="37"/>
    </x:row>
    <x:row r="17" ht="15" hidden="0" customHeight="1">
      <x:c r="A17" s="37"/>
      <x:c r="B17" s="37"/>
      <x:c r="C17" s="37"/>
      <x:c r="D17" s="37"/>
      <x:c r="E17" s="37"/>
      <x:c r="F17" s="37"/>
      <x:c r="G17" s="37"/>
      <x:c r="H17" s="37"/>
    </x:row>
    <x:row r="18" ht="15" hidden="0" customHeight="1">
      <x:c r="A18" s="37"/>
      <x:c r="B18" s="37"/>
      <x:c r="C18" s="37"/>
      <x:c r="D18" s="37"/>
      <x:c r="E18" s="37"/>
      <x:c r="F18" s="37"/>
      <x:c r="G18" s="37"/>
      <x:c r="H18" s="37"/>
    </x:row>
    <x:row r="19" ht="15" hidden="0" customHeight="1">
      <x:c r="A19" s="38" t="str">
        <x:v>홈택스 입력 가이드</x:v>
      </x:c>
      <x:c r="B19" s="38" t="str">
        <x:v>홈택스 입력 가이드</x:v>
      </x:c>
      <x:c r="C19" s="38" t="str">
        <x:v>홈택스 입력 가이드</x:v>
      </x:c>
      <x:c r="D19" s="38" t="str">
        <x:v>홈택스 입력 가이드</x:v>
      </x:c>
      <x:c r="E19" s="38" t="str">
        <x:v>홈택스 입력 가이드</x:v>
      </x:c>
      <x:c r="F19" s="38" t="str">
        <x:v>홈택스 입력 가이드</x:v>
      </x:c>
      <x:c r="G19" s="38" t="str">
        <x:v>홈택스 입력 가이드</x:v>
      </x:c>
      <x:c r="H19" s="38" t="str">
        <x:v>홈택스 입력 가이드</x:v>
      </x:c>
    </x:row>
    <x:row r="20" ht="15" hidden="0" customHeight="1">
      <x:c r="A20" s="32" t="str">
        <x:v>신고 화면</x:v>
      </x:c>
      <x:c r="B20" s="32" t="str">
        <x:v>항목</x:v>
      </x:c>
      <x:c r="C20" s="32" t="str">
        <x:v>공급가액/금액</x:v>
      </x:c>
      <x:c r="D20" s="32" t="str">
        <x:v>세액</x:v>
      </x:c>
      <x:c r="E20" s="32" t="str">
        <x:v>상태</x:v>
      </x:c>
      <x:c r="F20" s="32" t="str">
        <x:v>메모</x:v>
      </x:c>
      <x:c r="G20" s="99" t="str">
        <x:v>신고 전 마지막 확인
1. 영세율 증빙 첨부
2. 세액공제 현재값 확인
3. 홈택스 계산값 대조
4. 접수증·신고서 PDF 저장
법정기한: 2026-07-27</x:v>
      </x:c>
      <x:c r="H20" s="99" t="str">
        <x:v>신고 전 마지막 확인
1. 영세율 증빙 첨부
2. 세액공제 현재값 확인
3. 홈택스 계산값 대조
4. 접수증·신고서 PDF 저장
법정기한: 2026-07-27</x:v>
      </x:c>
    </x:row>
    <x:row r="21" ht="26.399999618530273" hidden="0" customHeight="1">
      <x:c r="A21" s="41" t="str">
        <x:v>과세표준 및 매출세액</x:v>
      </x:c>
      <x:c r="B21" s="41" t="str">
        <x:v>신용카드·현금영수증 발행분</x:v>
      </x:c>
      <x:c r="C21" s="42" t="n">
        <x:f>B8</x:f>
        <x:v>334590</x:v>
      </x:c>
      <x:c r="D21" s="42" t="n">
        <x:f>B9</x:f>
        <x:v>33459</x:v>
      </x:c>
      <x:c r="E21" s="41" t="str">
        <x:v>입력</x:v>
      </x:c>
      <x:c r="F21" s="41" t="str">
        <x:v>국내 과세 총결제액에서 산출</x:v>
      </x:c>
      <x:c r="G21" s="99" t="str">
        <x:v>신고 전 마지막 확인
1. 영세율 증빙 첨부
2. 세액공제 현재값 확인
3. 홈택스 계산값 대조
4. 접수증·신고서 PDF 저장
법정기한: 2026-07-27</x:v>
      </x:c>
      <x:c r="H21" s="99" t="str">
        <x:v>신고 전 마지막 확인
1. 영세율 증빙 첨부
2. 세액공제 현재값 확인
3. 홈택스 계산값 대조
4. 접수증·신고서 PDF 저장
법정기한: 2026-07-27</x:v>
      </x:c>
    </x:row>
    <x:row r="22" ht="15" hidden="0" customHeight="1">
      <x:c r="A22" s="41" t="str">
        <x:v>과세표준 및 매출세액</x:v>
      </x:c>
      <x:c r="B22" s="41" t="str">
        <x:v>영세율 기타</x:v>
      </x:c>
      <x:c r="C22" s="42" t="n">
        <x:f>B10</x:f>
        <x:v>287902</x:v>
      </x:c>
      <x:c r="D22" s="42" t="n">
        <x:f>0</x:f>
        <x:v>0</x:v>
      </x:c>
      <x:c r="E22" s="41" t="str">
        <x:v>입력</x:v>
      </x:c>
      <x:c r="F22" s="41" t="str">
        <x:v>증빙 충족 여부 최종 확인</x:v>
      </x:c>
      <x:c r="G22" s="99" t="str">
        <x:v>신고 전 마지막 확인
1. 영세율 증빙 첨부
2. 세액공제 현재값 확인
3. 홈택스 계산값 대조
4. 접수증·신고서 PDF 저장
법정기한: 2026-07-27</x:v>
      </x:c>
      <x:c r="H22" s="99" t="str">
        <x:v>신고 전 마지막 확인
1. 영세율 증빙 첨부
2. 세액공제 현재값 확인
3. 홈택스 계산값 대조
4. 접수증·신고서 PDF 저장
법정기한: 2026-07-27</x:v>
      </x:c>
    </x:row>
    <x:row r="23" ht="15" hidden="0" customHeight="1">
      <x:c r="A23" s="41" t="str">
        <x:v>그 밖의 공제매입세액</x:v>
      </x:c>
      <x:c r="B23" s="41" t="str">
        <x:v>검증된 공제매입</x:v>
      </x:c>
      <x:c r="C23" s="42" t="n">
        <x:f>'매입세액'!E12</x:f>
        <x:v>267906</x:v>
      </x:c>
      <x:c r="D23" s="42" t="n">
        <x:f>B11</x:f>
        <x:v>26786</x:v>
      </x:c>
      <x:c r="E23" s="41" t="str">
        <x:v>입력/불러오기</x:v>
      </x:c>
      <x:c r="F23" s="41" t="str">
        <x:v>공제=1 합계</x:v>
      </x:c>
      <x:c r="G23" s="99" t="str">
        <x:v>신고 전 마지막 확인
1. 영세율 증빙 첨부
2. 세액공제 현재값 확인
3. 홈택스 계산값 대조
4. 접수증·신고서 PDF 저장
법정기한: 2026-07-27</x:v>
      </x:c>
      <x:c r="H23" s="99" t="str">
        <x:v>신고 전 마지막 확인
1. 영세율 증빙 첨부
2. 세액공제 현재값 확인
3. 홈택스 계산값 대조
4. 접수증·신고서 PDF 저장
법정기한: 2026-07-27</x:v>
      </x:c>
    </x:row>
    <x:row r="24" ht="15" hidden="0" customHeight="1">
      <x:c r="A24" s="41" t="str">
        <x:v>경감·공제세액</x:v>
      </x:c>
      <x:c r="B24" s="41" t="str">
        <x:v>전자신고 세액공제</x:v>
      </x:c>
      <x:c r="C24" s="42" t="n">
        <x:f>B13</x:f>
        <x:v>5000</x:v>
      </x:c>
      <x:c r="D24" s="42" t="n">
        <x:f>0</x:f>
        <x:v>0</x:v>
      </x:c>
      <x:c r="E24" s="41" t="str">
        <x:v>자동/확인</x:v>
      </x:c>
      <x:c r="F24" s="41" t="str">
        <x:v>현재 법령값 확인</x:v>
      </x:c>
      <x:c r="G24" s="99" t="str">
        <x:v>신고 전 마지막 확인
1. 영세율 증빙 첨부
2. 세액공제 현재값 확인
3. 홈택스 계산값 대조
4. 접수증·신고서 PDF 저장
법정기한: 2026-07-27</x:v>
      </x:c>
      <x:c r="H24" s="99" t="str">
        <x:v>신고 전 마지막 확인
1. 영세율 증빙 첨부
2. 세액공제 현재값 확인
3. 홈택스 계산값 대조
4. 접수증·신고서 PDF 저장
법정기한: 2026-07-27</x:v>
      </x:c>
    </x:row>
    <x:row r="25" ht="26.399999618530273" hidden="0" customHeight="1">
      <x:c r="A25" s="41" t="str">
        <x:v>경감·공제세액</x:v>
      </x:c>
      <x:c r="B25" s="41" t="str">
        <x:v>신용카드 발행세액공제</x:v>
      </x:c>
      <x:c r="C25" s="42" t="n">
        <x:f>B14</x:f>
        <x:v>0</x:v>
      </x:c>
      <x:c r="D25" s="42" t="n">
        <x:f>0</x:f>
        <x:v>0</x:v>
      </x:c>
      <x:c r="E25" s="41" t="str">
        <x:v>미적용</x:v>
      </x:c>
      <x:c r="F25" s="41" t="str">
        <x:v>소프트웨어·정보서비스업 적격성 확인 전 보수적으로 미적용</x:v>
      </x:c>
      <x:c r="G25" s="99" t="str">
        <x:v>신고 전 마지막 확인
1. 영세율 증빙 첨부
2. 세액공제 현재값 확인
3. 홈택스 계산값 대조
4. 접수증·신고서 PDF 저장
법정기한: 2026-07-27</x:v>
      </x:c>
      <x:c r="H25" s="99" t="str">
        <x:v>신고 전 마지막 확인
1. 영세율 증빙 첨부
2. 세액공제 현재값 확인
3. 홈택스 계산값 대조
4. 접수증·신고서 PDF 저장
법정기한: 2026-07-27</x:v>
      </x:c>
    </x:row>
    <x:row r="26" ht="15" hidden="0" customHeight="1">
      <x:c r="A26" s="41" t="str">
        <x:v>납부세액</x:v>
      </x:c>
      <x:c r="B26" s="41" t="str">
        <x:v>예상 납부세액</x:v>
      </x:c>
      <x:c r="C26" s="42" t="n">
        <x:f>B15</x:f>
        <x:v>1673</x:v>
      </x:c>
      <x:c r="D26" s="42" t="n">
        <x:f>0</x:f>
        <x:v>0</x:v>
      </x:c>
      <x:c r="E26" s="41" t="str">
        <x:v>자동계산 확인</x:v>
      </x:c>
      <x:c r="F26" s="41" t="str">
        <x:v>홈택스 값과 대조</x:v>
      </x:c>
      <x:c r="G26" s="99" t="str">
        <x:v>신고 전 마지막 확인
1. 영세율 증빙 첨부
2. 세액공제 현재값 확인
3. 홈택스 계산값 대조
4. 접수증·신고서 PDF 저장
법정기한: 2026-07-27</x:v>
      </x:c>
      <x:c r="H26" s="99" t="str">
        <x:v>신고 전 마지막 확인
1. 영세율 증빙 첨부
2. 세액공제 현재값 확인
3. 홈택스 계산값 대조
4. 접수증·신고서 PDF 저장
법정기한: 2026-07-27</x:v>
      </x:c>
    </x:row>
  </x:sheetData>
  <x:mergeCells>
    <x:mergeCell ref="A1:H2"/>
    <x:mergeCell ref="A4:H4"/>
    <x:mergeCell ref="A6:D6"/>
    <x:mergeCell ref="E6:H6"/>
    <x:mergeCell ref="A19:H19"/>
    <x:mergeCell ref="G20:H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25" hidden="0" customWidth="1"/>
    <x:col min="4" max="4" width="16" hidden="0" customWidth="1"/>
    <x:col min="5" max="5" width="9" hidden="0" customWidth="1"/>
    <x:col min="6" max="6" width="15" hidden="0" customWidth="1"/>
    <x:col min="7" max="7" width="24" hidden="0" customWidth="1"/>
    <x:col min="8" max="8" width="34" hidden="0" customWidth="1"/>
  </x:cols>
  <x:sheetData>
    <x:row r="1" ht="30" customHeight="1">
      <x:c r="A1" s="36" t="str">
        <x:v>2026년 제1기 확정 국내 과세매출</x:v>
      </x:c>
      <x:c r="B1" s="36" t="str">
        <x:v>2026년 제1기 확정 국내 과세매출</x:v>
      </x:c>
      <x:c r="C1" s="36" t="str">
        <x:v>2026년 제1기 확정 국내 과세매출</x:v>
      </x:c>
      <x:c r="D1" s="36" t="str">
        <x:v>2026년 제1기 확정 국내 과세매출</x:v>
      </x:c>
      <x:c r="E1" s="36" t="str">
        <x:v>2026년 제1기 확정 국내 과세매출</x:v>
      </x:c>
      <x:c r="F1" s="36" t="str">
        <x:v>2026년 제1기 확정 국내 과세매출</x:v>
      </x:c>
      <x:c r="G1" s="36" t="str">
        <x:v>2026년 제1기 확정 국내 과세매출</x:v>
      </x:c>
      <x:c r="H1" s="36" t="str">
        <x:v>2026년 제1기 확정 국내 과세매출</x:v>
      </x:c>
    </x:row>
    <x:row r="2" ht="30" customHeight="1">
      <x:c r="A2" s="36" t="str">
        <x:v>2026년 제1기 확정 국내 과세매출</x:v>
      </x:c>
      <x:c r="B2" s="36" t="str">
        <x:v>2026년 제1기 확정 국내 과세매출</x:v>
      </x:c>
      <x:c r="C2" s="36" t="str">
        <x:v>2026년 제1기 확정 국내 과세매출</x:v>
      </x:c>
      <x:c r="D2" s="36" t="str">
        <x:v>2026년 제1기 확정 국내 과세매출</x:v>
      </x:c>
      <x:c r="E2" s="36" t="str">
        <x:v>2026년 제1기 확정 국내 과세매출</x:v>
      </x:c>
      <x:c r="F2" s="36" t="str">
        <x:v>2026년 제1기 확정 국내 과세매출</x:v>
      </x:c>
      <x:c r="G2" s="36" t="str">
        <x:v>2026년 제1기 확정 국내 과세매출</x:v>
      </x:c>
      <x:c r="H2" s="36" t="str">
        <x:v>2026년 제1기 확정 국내 과세매출</x:v>
      </x:c>
    </x:row>
    <x:row r="3" ht="15" hidden="0" customHeight="1">
      <x:c r="A3" s="37"/>
      <x:c r="B3" s="37"/>
      <x:c r="C3" s="37"/>
      <x:c r="D3" s="37"/>
      <x:c r="E3" s="37"/>
      <x:c r="F3" s="37"/>
      <x:c r="G3" s="37"/>
      <x:c r="H3" s="37"/>
    </x:row>
    <x:row r="4" ht="15" hidden="0" customHeight="1">
      <x:c r="A4" s="12" t="str">
        <x:v>포함=1인 행만 신고 합계에 들어갑니다. 홈택스와 플랫폼 보고서가 겹치면 한쪽을 포함=0으로 남겨 중복 제거 근거를 보존하세요.</x:v>
      </x:c>
      <x:c r="B4" s="13" t="str">
        <x:v>포함=1인 행만 신고 합계에 들어갑니다. 홈택스와 플랫폼 보고서가 겹치면 한쪽을 포함=0으로 남겨 중복 제거 근거를 보존하세요.</x:v>
      </x:c>
      <x:c r="C4" s="13" t="str">
        <x:v>포함=1인 행만 신고 합계에 들어갑니다. 홈택스와 플랫폼 보고서가 겹치면 한쪽을 포함=0으로 남겨 중복 제거 근거를 보존하세요.</x:v>
      </x:c>
      <x:c r="D4" s="13" t="str">
        <x:v>포함=1인 행만 신고 합계에 들어갑니다. 홈택스와 플랫폼 보고서가 겹치면 한쪽을 포함=0으로 남겨 중복 제거 근거를 보존하세요.</x:v>
      </x:c>
      <x:c r="E4" s="13" t="str">
        <x:v>포함=1인 행만 신고 합계에 들어갑니다. 홈택스와 플랫폼 보고서가 겹치면 한쪽을 포함=0으로 남겨 중복 제거 근거를 보존하세요.</x:v>
      </x:c>
      <x:c r="F4" s="13" t="str">
        <x:v>포함=1인 행만 신고 합계에 들어갑니다. 홈택스와 플랫폼 보고서가 겹치면 한쪽을 포함=0으로 남겨 중복 제거 근거를 보존하세요.</x:v>
      </x:c>
      <x:c r="G4" s="13" t="str">
        <x:v>포함=1인 행만 신고 합계에 들어갑니다. 홈택스와 플랫폼 보고서가 겹치면 한쪽을 포함=0으로 남겨 중복 제거 근거를 보존하세요.</x:v>
      </x:c>
      <x:c r="H4" s="14" t="str">
        <x:v>포함=1인 행만 신고 합계에 들어갑니다. 홈택스와 플랫폼 보고서가 겹치면 한쪽을 포함=0으로 남겨 중복 제거 근거를 보존하세요.</x:v>
      </x:c>
    </x:row>
    <x:row r="5" ht="15" hidden="0" customHeight="1">
      <x:c r="A5" s="37"/>
      <x:c r="B5" s="37"/>
      <x:c r="C5" s="37"/>
      <x:c r="D5" s="37"/>
      <x:c r="E5" s="37"/>
      <x:c r="F5" s="37"/>
      <x:c r="G5" s="37"/>
      <x:c r="H5" s="37"/>
    </x:row>
    <x:row r="6" ht="15" hidden="0" customHeight="1">
      <x:c r="A6" s="32" t="str">
        <x:v>ID</x:v>
      </x:c>
      <x:c r="B6" s="32" t="str">
        <x:v>플랫폼</x:v>
      </x:c>
      <x:c r="C6" s="32" t="str">
        <x:v>원천</x:v>
      </x:c>
      <x:c r="D6" s="32" t="str">
        <x:v>총결제액</x:v>
      </x:c>
      <x:c r="E6" s="32" t="str">
        <x:v>포함</x:v>
      </x:c>
      <x:c r="F6" s="32" t="str">
        <x:v>신고구분</x:v>
      </x:c>
      <x:c r="G6" s="32" t="str">
        <x:v>근거</x:v>
      </x:c>
      <x:c r="H6" s="32" t="str">
        <x:v>메모</x:v>
      </x:c>
    </x:row>
    <x:row r="7" ht="15" hidden="0" customHeight="1">
      <x:c r="A7" s="41" t="str">
        <x:v>onestore-2026-01</x:v>
      </x:c>
      <x:c r="B7" s="41" t="str">
        <x:v>원스토어</x:v>
      </x:c>
      <x:c r="C7" s="41" t="str">
        <x:v>홈택스 판매(결제)대행</x:v>
      </x:c>
      <x:c r="D7" s="42" t="n">
        <x:v>262050</x:v>
      </x:c>
      <x:c r="E7" s="68" t="n">
        <x:v>1</x:v>
      </x:c>
      <x:c r="F7" s="41" t="str">
        <x:v>국내 과세</x:v>
      </x:c>
      <x:c r="G7" s="41" t="str">
        <x:v>2026-01 승인</x:v>
      </x:c>
      <x:c r="H7" s="41" t="str">
        <x:v>직접 반영</x:v>
      </x:c>
    </x:row>
    <x:row r="8" ht="15" hidden="0" customHeight="1">
      <x:c r="A8" s="41" t="str">
        <x:v>samsung-2026-02</x:v>
      </x:c>
      <x:c r="B8" s="41" t="str">
        <x:v>삼성</x:v>
      </x:c>
      <x:c r="C8" s="41" t="str">
        <x:v>홈택스 판매(결제)대행</x:v>
      </x:c>
      <x:c r="D8" s="42" t="n">
        <x:v>3900</x:v>
      </x:c>
      <x:c r="E8" s="68" t="n">
        <x:v>1</x:v>
      </x:c>
      <x:c r="F8" s="41" t="str">
        <x:v>국내 과세</x:v>
      </x:c>
      <x:c r="G8" s="41" t="str">
        <x:v>2026-02 승인</x:v>
      </x:c>
      <x:c r="H8" s="41" t="str">
        <x:v>직접 반영</x:v>
      </x:c>
    </x:row>
    <x:row r="9" ht="15" hidden="0" customHeight="1">
      <x:c r="A9" s="41" t="str">
        <x:v>apple-2026-h1-kr</x:v>
      </x:c>
      <x:c r="B9" s="41" t="str">
        <x:v>Apple</x:v>
      </x:c>
      <x:c r="C9" s="41" t="str">
        <x:v>Sales and Trends</x:v>
      </x:c>
      <x:c r="D9" s="42" t="n">
        <x:v>92600</x:v>
      </x:c>
      <x:c r="E9" s="68" t="n">
        <x:v>1</x:v>
      </x:c>
      <x:c r="F9" s="41" t="str">
        <x:v>국내 과세</x:v>
      </x:c>
      <x:c r="G9" s="41" t="str">
        <x:v>Country Code=KR</x:v>
      </x:c>
      <x:c r="H9" s="41" t="str">
        <x:v>홈택스 Apple 행은 중복 제외</x:v>
      </x:c>
    </x:row>
    <x:row r="10" ht="15" hidden="0" customHeight="1">
      <x:c r="A10" s="41" t="str">
        <x:v>google-2026-h1-kr</x:v>
      </x:c>
      <x:c r="B10" s="41" t="str">
        <x:v>Google</x:v>
      </x:c>
      <x:c r="C10" s="41" t="str">
        <x:v>Play Console 보고서</x:v>
      </x:c>
      <x:c r="D10" s="42" t="n">
        <x:v>9500</x:v>
      </x:c>
      <x:c r="E10" s="68" t="n">
        <x:v>1</x:v>
      </x:c>
      <x:c r="F10" s="41" t="str">
        <x:v>국내 과세</x:v>
      </x:c>
      <x:c r="G10" s="41" t="str">
        <x:v>Buyer Country=KR</x:v>
      </x:c>
      <x:c r="H10" s="41" t="str">
        <x:v>원천자료 공급가액 8,636원·세액 864원</x:v>
      </x:c>
    </x:row>
    <x:row r="11" ht="15" hidden="0" customHeight="1">
      <x:c r="A11" s="37"/>
      <x:c r="B11" s="37"/>
      <x:c r="C11" s="37"/>
      <x:c r="D11" s="37"/>
      <x:c r="E11" s="37"/>
      <x:c r="F11" s="37"/>
      <x:c r="G11" s="37"/>
      <x:c r="H11" s="37"/>
    </x:row>
    <x:row r="12" ht="15" hidden="0" customHeight="1">
      <x:c r="A12" s="37"/>
      <x:c r="B12" s="37"/>
      <x:c r="C12" s="37"/>
      <x:c r="D12" s="37"/>
      <x:c r="E12" s="37"/>
      <x:c r="F12" s="37"/>
      <x:c r="G12" s="37"/>
      <x:c r="H12" s="37"/>
    </x:row>
    <x:row r="13" ht="15" hidden="0" customHeight="1">
      <x:c r="A13" s="69" t="str">
        <x:v>국내 과세 총결제액</x:v>
      </x:c>
      <x:c r="B13" s="69" t="str">
        <x:v>포함=1 합계</x:v>
      </x:c>
      <x:c r="C13" s="69"/>
      <x:c r="D13" s="70" t="n">
        <x:f>SUMIFS(D7:D10,E7:E10,1)</x:f>
        <x:v>368050</x:v>
      </x:c>
      <x:c r="E13" s="37"/>
      <x:c r="F13" s="37"/>
      <x:c r="G13" s="37"/>
      <x:c r="H13" s="37"/>
    </x:row>
    <x:row r="14" ht="15" hidden="0" customHeight="1">
      <x:c r="A14" s="69" t="str">
        <x:v>과세 공급가액</x:v>
      </x:c>
      <x:c r="B14" s="69" t="str">
        <x:v>총결제액 ÷ (1+세율), 원 미만 절사</x:v>
      </x:c>
      <x:c r="C14" s="69"/>
      <x:c r="D14" s="70" t="n">
        <x:f>ROUNDDOWN(D13/(1+'근거·체크'!$B$7),0)</x:f>
        <x:v>334590</x:v>
      </x:c>
      <x:c r="E14" s="37"/>
      <x:c r="F14" s="37"/>
      <x:c r="G14" s="37"/>
      <x:c r="H14" s="37"/>
    </x:row>
    <x:row r="15" ht="15" hidden="0" customHeight="1">
      <x:c r="A15" s="69" t="str">
        <x:v>매출세액</x:v>
      </x:c>
      <x:c r="B15" s="69" t="str">
        <x:v>총결제액 × 세율 ÷ (1+세율), 원 미만 절사</x:v>
      </x:c>
      <x:c r="C15" s="69"/>
      <x:c r="D15" s="70" t="n">
        <x:f>ROUNDDOWN(D13*'근거·체크'!$B$7/(1+'근거·체크'!$B$7),0)</x:f>
        <x:v>33459</x:v>
      </x:c>
      <x:c r="E15" s="37"/>
      <x:c r="F15" s="37"/>
      <x:c r="G15" s="37"/>
      <x:c r="H15" s="37"/>
    </x:row>
    <x:row r="16" ht="15" hidden="0" customHeight="1">
      <x:c r="A16" s="69" t="str">
        <x:v>절사 차이</x:v>
      </x:c>
      <x:c r="B16" s="69" t="str">
        <x:v>총결제액 - 공급가액 - 매출세액</x:v>
      </x:c>
      <x:c r="C16" s="69"/>
      <x:c r="D16" s="70" t="n">
        <x:f>D13-D14-D15</x:f>
        <x:v>1</x:v>
      </x:c>
      <x:c r="E16" s="37"/>
      <x:c r="F16" s="37"/>
      <x:c r="G16" s="37"/>
      <x:c r="H16" s="37"/>
    </x:row>
    <x:row r="17" ht="15" hidden="0" customHeight="1">
      <x:c r="A17" s="37"/>
      <x:c r="B17" s="37"/>
      <x:c r="C17" s="37"/>
      <x:c r="D17" s="37"/>
      <x:c r="E17" s="37"/>
      <x:c r="F17" s="37"/>
      <x:c r="G17" s="37"/>
      <x:c r="H17" s="37"/>
    </x:row>
    <x:row r="18" ht="15" hidden="0" customHeight="1">
      <x:c r="A18" s="37"/>
      <x:c r="B18" s="37"/>
      <x:c r="C18" s="37"/>
      <x:c r="D18" s="37"/>
      <x:c r="E18" s="37"/>
      <x:c r="F18" s="37"/>
      <x:c r="G18" s="37"/>
      <x:c r="H18" s="37"/>
    </x:row>
    <x:row r="19" ht="15" hidden="0" customHeight="1">
      <x:c r="A19" s="38" t="str">
        <x:v>중복·대조 내역</x:v>
      </x:c>
      <x:c r="B19" s="38" t="str">
        <x:v>중복·대조 내역</x:v>
      </x:c>
      <x:c r="C19" s="38" t="str">
        <x:v>중복·대조 내역</x:v>
      </x:c>
      <x:c r="D19" s="38" t="str">
        <x:v>중복·대조 내역</x:v>
      </x:c>
      <x:c r="E19" s="38" t="str">
        <x:v>중복·대조 내역</x:v>
      </x:c>
      <x:c r="F19" s="38" t="str">
        <x:v>중복·대조 내역</x:v>
      </x:c>
      <x:c r="G19" s="38" t="str">
        <x:v>중복·대조 내역</x:v>
      </x:c>
      <x:c r="H19" s="38" t="str">
        <x:v>중복·대조 내역</x:v>
      </x:c>
    </x:row>
    <x:row r="20" ht="15" hidden="0" customHeight="1">
      <x:c r="A20" s="32" t="str">
        <x:v>구분</x:v>
      </x:c>
      <x:c r="B20" s="32" t="str">
        <x:v>금액</x:v>
      </x:c>
      <x:c r="C20" s="32" t="str">
        <x:v>처리</x:v>
      </x:c>
      <x:c r="D20" s="32" t="str">
        <x:v>메모</x:v>
      </x:c>
      <x:c r="E20" s="37"/>
      <x:c r="F20" s="37"/>
      <x:c r="G20" s="37"/>
      <x:c r="H20" s="37"/>
    </x:row>
    <x:row r="21" ht="15" hidden="0" customHeight="1">
      <x:c r="A21" s="41" t="str">
        <x:v>홈택스 판매대행 전체</x:v>
      </x:c>
      <x:c r="B21" s="42" t="n">
        <x:v>477224</x:v>
      </x:c>
      <x:c r="C21" s="41" t="str">
        <x:v>대조용</x:v>
      </x:c>
      <x:c r="D21" s="41" t="str">
        <x:v>Apple 중복 포함</x:v>
      </x:c>
      <x:c r="E21" s="37"/>
      <x:c r="F21" s="37"/>
      <x:c r="G21" s="37"/>
      <x:c r="H21" s="37"/>
    </x:row>
    <x:row r="22" ht="26.399999618530273" hidden="0" customHeight="1">
      <x:c r="A22" s="41" t="str">
        <x:v>홈택스 Apple 관련 행</x:v>
      </x:c>
      <x:c r="B22" s="42" t="n">
        <x:v>211274</x:v>
      </x:c>
      <x:c r="C22" s="41" t="str">
        <x:v>신고 합계 제외</x:v>
      </x:c>
      <x:c r="D22" s="41" t="str">
        <x:v>플랫폼 보고서에서 국가별 재분류</x:v>
      </x:c>
      <x:c r="E22" s="37"/>
      <x:c r="F22" s="37"/>
      <x:c r="G22" s="37"/>
      <x:c r="H22" s="37"/>
    </x:row>
    <x:row r="23" ht="15" hidden="0" customHeight="1">
      <x:c r="A23" s="41" t="str">
        <x:v>홈택스 국내 직접매출</x:v>
      </x:c>
      <x:c r="B23" s="42" t="n">
        <x:v>265950</x:v>
      </x:c>
      <x:c r="C23" s="41" t="str">
        <x:v>신고 포함</x:v>
      </x:c>
      <x:c r="D23" s="41" t="str">
        <x:v>원스토어+삼성</x:v>
      </x:c>
      <x:c r="E23" s="37"/>
      <x:c r="F23" s="37"/>
      <x:c r="G23" s="37"/>
      <x:c r="H23" s="37"/>
    </x:row>
    <x:row r="24" ht="26.399999618530273" hidden="0" customHeight="1">
      <x:c r="A24" s="41" t="str">
        <x:v>Apple 플랫폼 보고서 전체</x:v>
      </x:c>
      <x:c r="B24" s="42" t="n">
        <x:v>264741</x:v>
      </x:c>
      <x:c r="C24" s="41" t="str">
        <x:v>국내·해외 분리</x:v>
      </x:c>
      <x:c r="D24" s="41" t="str">
        <x:v>국내 92,600원 + 해외 환산액</x:v>
      </x:c>
      <x:c r="E24" s="37"/>
      <x:c r="F24" s="37"/>
      <x:c r="G24" s="37"/>
      <x:c r="H24" s="37"/>
    </x:row>
  </x:sheetData>
  <x:mergeCells>
    <x:mergeCell ref="A1:H2"/>
    <x:mergeCell ref="A4:H4"/>
    <x:mergeCell ref="B13:C13"/>
    <x:mergeCell ref="B14:C14"/>
    <x:mergeCell ref="B15:C15"/>
    <x:mergeCell ref="B16:C16"/>
    <x:mergeCell ref="A19:H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12" hidden="0" customWidth="1"/>
    <x:col min="4" max="4" width="20" hidden="0" customWidth="1"/>
    <x:col min="5" max="5" width="9" hidden="0" customWidth="1"/>
    <x:col min="6" max="6" width="9" hidden="0" customWidth="1"/>
    <x:col min="7" max="7" width="13" hidden="0" customWidth="1"/>
    <x:col min="8" max="8" width="11" hidden="0" customWidth="1"/>
    <x:col min="9" max="9" width="13" hidden="0" customWidth="1"/>
    <x:col min="10" max="10" width="9" hidden="0" customWidth="1"/>
    <x:col min="11" max="11" width="16" hidden="0" customWidth="1"/>
    <x:col min="12" max="12" width="25" hidden="0" customWidth="1"/>
    <x:col min="13" max="13" width="34" hidden="0" customWidth="1"/>
  </x:cols>
  <x:sheetData>
    <x:row r="1" ht="30" customHeight="1">
      <x:c r="A1" s="36" t="str">
        <x:v>2026년 제1기 확정 영세율 후보 매출</x:v>
      </x:c>
      <x:c r="B1" s="36" t="str">
        <x:v>2026년 제1기 확정 영세율 후보 매출</x:v>
      </x:c>
      <x:c r="C1" s="36" t="str">
        <x:v>2026년 제1기 확정 영세율 후보 매출</x:v>
      </x:c>
      <x:c r="D1" s="36" t="str">
        <x:v>2026년 제1기 확정 영세율 후보 매출</x:v>
      </x:c>
      <x:c r="E1" s="36" t="str">
        <x:v>2026년 제1기 확정 영세율 후보 매출</x:v>
      </x:c>
      <x:c r="F1" s="36" t="str">
        <x:v>2026년 제1기 확정 영세율 후보 매출</x:v>
      </x:c>
      <x:c r="G1" s="36" t="str">
        <x:v>2026년 제1기 확정 영세율 후보 매출</x:v>
      </x:c>
      <x:c r="H1" s="36" t="str">
        <x:v>2026년 제1기 확정 영세율 후보 매출</x:v>
      </x:c>
      <x:c r="I1" s="36" t="str">
        <x:v>2026년 제1기 확정 영세율 후보 매출</x:v>
      </x:c>
      <x:c r="J1" s="36" t="str">
        <x:v>2026년 제1기 확정 영세율 후보 매출</x:v>
      </x:c>
      <x:c r="K1" s="36" t="str">
        <x:v>2026년 제1기 확정 영세율 후보 매출</x:v>
      </x:c>
      <x:c r="L1" s="36" t="str">
        <x:v>2026년 제1기 확정 영세율 후보 매출</x:v>
      </x:c>
      <x:c r="M1" s="36" t="str">
        <x:v>2026년 제1기 확정 영세율 후보 매출</x:v>
      </x:c>
    </x:row>
    <x:row r="2" ht="30" customHeight="1">
      <x:c r="A2" s="36" t="str">
        <x:v>2026년 제1기 확정 영세율 후보 매출</x:v>
      </x:c>
      <x:c r="B2" s="36" t="str">
        <x:v>2026년 제1기 확정 영세율 후보 매출</x:v>
      </x:c>
      <x:c r="C2" s="36" t="str">
        <x:v>2026년 제1기 확정 영세율 후보 매출</x:v>
      </x:c>
      <x:c r="D2" s="36" t="str">
        <x:v>2026년 제1기 확정 영세율 후보 매출</x:v>
      </x:c>
      <x:c r="E2" s="36" t="str">
        <x:v>2026년 제1기 확정 영세율 후보 매출</x:v>
      </x:c>
      <x:c r="F2" s="36" t="str">
        <x:v>2026년 제1기 확정 영세율 후보 매출</x:v>
      </x:c>
      <x:c r="G2" s="36" t="str">
        <x:v>2026년 제1기 확정 영세율 후보 매출</x:v>
      </x:c>
      <x:c r="H2" s="36" t="str">
        <x:v>2026년 제1기 확정 영세율 후보 매출</x:v>
      </x:c>
      <x:c r="I2" s="36" t="str">
        <x:v>2026년 제1기 확정 영세율 후보 매출</x:v>
      </x:c>
      <x:c r="J2" s="36" t="str">
        <x:v>2026년 제1기 확정 영세율 후보 매출</x:v>
      </x:c>
      <x:c r="K2" s="36" t="str">
        <x:v>2026년 제1기 확정 영세율 후보 매출</x:v>
      </x:c>
      <x:c r="L2" s="36" t="str">
        <x:v>2026년 제1기 확정 영세율 후보 매출</x:v>
      </x:c>
      <x:c r="M2" s="36" t="str">
        <x:v>2026년 제1기 확정 영세율 후보 매출</x:v>
      </x:c>
    </x:row>
    <x:row r="3" ht="15" hidden="0" customHeight="1">
      <x:c r="A3" s="37"/>
      <x:c r="B3" s="37"/>
      <x:c r="C3" s="37"/>
      <x:c r="D3" s="37"/>
      <x:c r="E3" s="37"/>
      <x:c r="F3" s="37"/>
      <x:c r="G3" s="37"/>
      <x:c r="H3" s="37"/>
      <x:c r="I3" s="37"/>
      <x:c r="J3" s="37"/>
      <x:c r="K3" s="37"/>
      <x:c r="L3" s="37"/>
      <x:c r="M3" s="37"/>
    </x:row>
    <x:row r="4" ht="15" hidden="0" customHeight="1">
      <x:c r="A4" s="12" t="str">
        <x:v>플랫폼 월별 확정 보고서의 End Date를 공급시기로 사용. 실제 입금일과 분리하며, 포함=0 행은 감사 추적용으로만 남습니다.</x:v>
      </x:c>
      <x:c r="B4" s="13" t="str">
        <x:v>플랫폼 월별 확정 보고서의 End Date를 공급시기로 사용. 실제 입금일과 분리하며, 포함=0 행은 감사 추적용으로만 남습니다.</x:v>
      </x:c>
      <x:c r="C4" s="13" t="str">
        <x:v>플랫폼 월별 확정 보고서의 End Date를 공급시기로 사용. 실제 입금일과 분리하며, 포함=0 행은 감사 추적용으로만 남습니다.</x:v>
      </x:c>
      <x:c r="D4" s="13" t="str">
        <x:v>플랫폼 월별 확정 보고서의 End Date를 공급시기로 사용. 실제 입금일과 분리하며, 포함=0 행은 감사 추적용으로만 남습니다.</x:v>
      </x:c>
      <x:c r="E4" s="13" t="str">
        <x:v>플랫폼 월별 확정 보고서의 End Date를 공급시기로 사용. 실제 입금일과 분리하며, 포함=0 행은 감사 추적용으로만 남습니다.</x:v>
      </x:c>
      <x:c r="F4" s="13" t="str">
        <x:v>플랫폼 월별 확정 보고서의 End Date를 공급시기로 사용. 실제 입금일과 분리하며, 포함=0 행은 감사 추적용으로만 남습니다.</x:v>
      </x:c>
      <x:c r="G4" s="13" t="str">
        <x:v>플랫폼 월별 확정 보고서의 End Date를 공급시기로 사용. 실제 입금일과 분리하며, 포함=0 행은 감사 추적용으로만 남습니다.</x:v>
      </x:c>
      <x:c r="H4" s="13" t="str">
        <x:v>플랫폼 월별 확정 보고서의 End Date를 공급시기로 사용. 실제 입금일과 분리하며, 포함=0 행은 감사 추적용으로만 남습니다.</x:v>
      </x:c>
      <x:c r="I4" s="13" t="str">
        <x:v>플랫폼 월별 확정 보고서의 End Date를 공급시기로 사용. 실제 입금일과 분리하며, 포함=0 행은 감사 추적용으로만 남습니다.</x:v>
      </x:c>
      <x:c r="J4" s="13" t="str">
        <x:v>플랫폼 월별 확정 보고서의 End Date를 공급시기로 사용. 실제 입금일과 분리하며, 포함=0 행은 감사 추적용으로만 남습니다.</x:v>
      </x:c>
      <x:c r="K4" s="13" t="str">
        <x:v>플랫폼 월별 확정 보고서의 End Date를 공급시기로 사용. 실제 입금일과 분리하며, 포함=0 행은 감사 추적용으로만 남습니다.</x:v>
      </x:c>
      <x:c r="L4" s="13" t="str">
        <x:v>플랫폼 월별 확정 보고서의 End Date를 공급시기로 사용. 실제 입금일과 분리하며, 포함=0 행은 감사 추적용으로만 남습니다.</x:v>
      </x:c>
      <x:c r="M4" s="14" t="str">
        <x:v>플랫폼 월별 확정 보고서의 End Date를 공급시기로 사용. 실제 입금일과 분리하며, 포함=0 행은 감사 추적용으로만 남습니다.</x:v>
      </x:c>
    </x:row>
    <x:row r="5" ht="15" hidden="0" customHeight="1">
      <x:c r="A5" s="37"/>
      <x:c r="B5" s="37"/>
      <x:c r="C5" s="37"/>
      <x:c r="D5" s="37"/>
      <x:c r="E5" s="37"/>
      <x:c r="F5" s="37"/>
      <x:c r="G5" s="37"/>
      <x:c r="H5" s="37"/>
      <x:c r="I5" s="37"/>
      <x:c r="J5" s="37"/>
      <x:c r="K5" s="37"/>
      <x:c r="L5" s="37"/>
      <x:c r="M5" s="37"/>
    </x:row>
    <x:row r="6" ht="15" hidden="0" customHeight="1">
      <x:c r="A6" s="32" t="str">
        <x:v>ID</x:v>
      </x:c>
      <x:c r="B6" s="32" t="str">
        <x:v>공급일</x:v>
      </x:c>
      <x:c r="C6" s="32" t="str">
        <x:v>플랫폼</x:v>
      </x:c>
      <x:c r="D6" s="32" t="str">
        <x:v>수익구분</x:v>
      </x:c>
      <x:c r="E6" s="32" t="str">
        <x:v>국가</x:v>
      </x:c>
      <x:c r="F6" s="32" t="str">
        <x:v>통화</x:v>
      </x:c>
      <x:c r="G6" s="32" t="str">
        <x:v>외화금액</x:v>
      </x:c>
      <x:c r="H6" s="32" t="str">
        <x:v>환율단위</x:v>
      </x:c>
      <x:c r="I6" s="32" t="str">
        <x:v>기준환율</x:v>
      </x:c>
      <x:c r="J6" s="32" t="str">
        <x:v>포함</x:v>
      </x:c>
      <x:c r="K6" s="32" t="str">
        <x:v>원화금액</x:v>
      </x:c>
      <x:c r="L6" s="32" t="str">
        <x:v>근거</x:v>
      </x:c>
      <x:c r="M6" s="32" t="str">
        <x:v>메모</x:v>
      </x:c>
    </x:row>
    <x:row r="7" ht="15" hidden="0" customHeight="1">
      <x:c r="A7" s="41" t="str">
        <x:v>apple-2026-01-jp</x:v>
      </x:c>
      <x:c r="B7" s="47" t="n">
        <x:v>46053</x:v>
      </x:c>
      <x:c r="C7" s="41" t="str">
        <x:v>Apple</x:v>
      </x:c>
      <x:c r="D7" s="41" t="str">
        <x:v>인앱결제</x:v>
      </x:c>
      <x:c r="E7" s="41" t="str">
        <x:v>JP</x:v>
      </x:c>
      <x:c r="F7" s="41" t="str">
        <x:v>JPY</x:v>
      </x:c>
      <x:c r="G7" s="77" t="n">
        <x:v>4700</x:v>
      </x:c>
      <x:c r="H7" s="62" t="n">
        <x:f>SUMIFS('환율'!$C$5:$C$18,'환율'!$A$5:$A$18,B7,'환율'!$B$5:$B$18,F7)</x:f>
        <x:v>100</x:v>
      </x:c>
      <x:c r="I7" s="63" t="n">
        <x:f>SUMIFS('환율'!$D$5:$D$18,'환율'!$A$5:$A$18,B7,'환율'!$B$5:$B$18,F7)</x:f>
        <x:v>932.89</x:v>
      </x:c>
      <x:c r="J7" s="41" t="n">
        <x:v>1</x:v>
      </x:c>
      <x:c r="K7" s="42" t="n">
        <x:f>IF(J7=1,ROUNDDOWN(G7*I7/H7,0),0)</x:f>
        <x:v>43845</x:v>
      </x:c>
      <x:c r="L7" s="41" t="str">
        <x:v>Sales and Trends</x:v>
      </x:c>
      <x:c r="M7" s="41" t="str"/>
    </x:row>
    <x:row r="8" ht="15" hidden="0" customHeight="1">
      <x:c r="A8" s="41" t="str">
        <x:v>apple-2026-01-ca</x:v>
      </x:c>
      <x:c r="B8" s="47" t="n">
        <x:v>46053</x:v>
      </x:c>
      <x:c r="C8" s="41" t="str">
        <x:v>Apple</x:v>
      </x:c>
      <x:c r="D8" s="41" t="str">
        <x:v>인앱결제</x:v>
      </x:c>
      <x:c r="E8" s="41" t="str">
        <x:v>CA</x:v>
      </x:c>
      <x:c r="F8" s="41" t="str">
        <x:v>CAD</x:v>
      </x:c>
      <x:c r="G8" s="77" t="n">
        <x:v>64.93</x:v>
      </x:c>
      <x:c r="H8" s="62" t="n">
        <x:f>SUMIFS('환율'!$C$5:$C$18,'환율'!$A$5:$A$18,B8,'환율'!$B$5:$B$18,F8)</x:f>
        <x:v>1</x:v>
      </x:c>
      <x:c r="I8" s="63" t="n">
        <x:f>SUMIFS('환율'!$D$5:$D$18,'환율'!$A$5:$A$18,B8,'환율'!$B$5:$B$18,F8)</x:f>
        <x:v>1057.94</x:v>
      </x:c>
      <x:c r="J8" s="41" t="n">
        <x:v>1</x:v>
      </x:c>
      <x:c r="K8" s="42" t="n">
        <x:f>IF(J8=1,ROUNDDOWN(G8*I8/H8,0),0)</x:f>
        <x:v>68692</x:v>
      </x:c>
      <x:c r="L8" s="41" t="str">
        <x:v>Sales and Trends</x:v>
      </x:c>
      <x:c r="M8" s="41" t="str"/>
    </x:row>
    <x:row r="9" ht="15" hidden="0" customHeight="1">
      <x:c r="A9" s="41" t="str">
        <x:v>apple-2026-01-gb</x:v>
      </x:c>
      <x:c r="B9" s="47" t="n">
        <x:v>46053</x:v>
      </x:c>
      <x:c r="C9" s="41" t="str">
        <x:v>Apple</x:v>
      </x:c>
      <x:c r="D9" s="41" t="str">
        <x:v>인앱결제</x:v>
      </x:c>
      <x:c r="E9" s="41" t="str">
        <x:v>GB</x:v>
      </x:c>
      <x:c r="F9" s="41" t="str">
        <x:v>GBP</x:v>
      </x:c>
      <x:c r="G9" s="77" t="n">
        <x:v>6.99</x:v>
      </x:c>
      <x:c r="H9" s="62" t="n">
        <x:f>SUMIFS('환율'!$C$5:$C$18,'환율'!$A$5:$A$18,B9,'환율'!$B$5:$B$18,F9)</x:f>
        <x:v>1</x:v>
      </x:c>
      <x:c r="I9" s="63" t="n">
        <x:f>SUMIFS('환율'!$D$5:$D$18,'환율'!$A$5:$A$18,B9,'환율'!$B$5:$B$18,F9)</x:f>
        <x:v>1970.62</x:v>
      </x:c>
      <x:c r="J9" s="41" t="n">
        <x:v>1</x:v>
      </x:c>
      <x:c r="K9" s="42" t="n">
        <x:f>IF(J9=1,ROUNDDOWN(G9*I9/H9,0),0)</x:f>
        <x:v>13774</x:v>
      </x:c>
      <x:c r="L9" s="41" t="str">
        <x:v>Sales and Trends</x:v>
      </x:c>
      <x:c r="M9" s="41" t="str"/>
    </x:row>
    <x:row r="10" ht="15" hidden="0" customHeight="1">
      <x:c r="A10" s="41" t="str">
        <x:v>apple-2026-02-tw</x:v>
      </x:c>
      <x:c r="B10" s="47" t="n">
        <x:v>46081</x:v>
      </x:c>
      <x:c r="C10" s="41" t="str">
        <x:v>Apple</x:v>
      </x:c>
      <x:c r="D10" s="41" t="str">
        <x:v>인앱결제</x:v>
      </x:c>
      <x:c r="E10" s="41" t="str">
        <x:v>TW</x:v>
      </x:c>
      <x:c r="F10" s="41" t="str">
        <x:v>TWD</x:v>
      </x:c>
      <x:c r="G10" s="77" t="n">
        <x:v>530</x:v>
      </x:c>
      <x:c r="H10" s="62" t="n">
        <x:f>SUMIFS('환율'!$C$5:$C$18,'환율'!$A$5:$A$18,B10,'환율'!$B$5:$B$18,F10)</x:f>
        <x:v>1</x:v>
      </x:c>
      <x:c r="I10" s="63" t="n">
        <x:f>SUMIFS('환율'!$D$5:$D$18,'환율'!$A$5:$A$18,B10,'환율'!$B$5:$B$18,F10)</x:f>
        <x:v>45.57</x:v>
      </x:c>
      <x:c r="J10" s="41" t="n">
        <x:v>1</x:v>
      </x:c>
      <x:c r="K10" s="42" t="n">
        <x:f>IF(J10=1,ROUNDDOWN(G10*I10/H10,0),0)</x:f>
        <x:v>24152</x:v>
      </x:c>
      <x:c r="L10" s="41" t="str">
        <x:v>Sales and Trends</x:v>
      </x:c>
      <x:c r="M10" s="41" t="str"/>
    </x:row>
    <x:row r="11" ht="15" hidden="0" customHeight="1">
      <x:c r="A11" s="41" t="str">
        <x:v>apple-2026-02-th</x:v>
      </x:c>
      <x:c r="B11" s="47" t="n">
        <x:v>46081</x:v>
      </x:c>
      <x:c r="C11" s="41" t="str">
        <x:v>Apple</x:v>
      </x:c>
      <x:c r="D11" s="41" t="str">
        <x:v>인앱결제</x:v>
      </x:c>
      <x:c r="E11" s="41" t="str">
        <x:v>TH</x:v>
      </x:c>
      <x:c r="F11" s="41" t="str">
        <x:v>THB</x:v>
      </x:c>
      <x:c r="G11" s="77" t="n">
        <x:v>249</x:v>
      </x:c>
      <x:c r="H11" s="62" t="n">
        <x:f>SUMIFS('환율'!$C$5:$C$18,'환율'!$A$5:$A$18,B11,'환율'!$B$5:$B$18,F11)</x:f>
        <x:v>1</x:v>
      </x:c>
      <x:c r="I11" s="63" t="n">
        <x:f>SUMIFS('환율'!$D$5:$D$18,'환율'!$A$5:$A$18,B11,'환율'!$B$5:$B$18,F11)</x:f>
        <x:v>45.8</x:v>
      </x:c>
      <x:c r="J11" s="41" t="n">
        <x:v>1</x:v>
      </x:c>
      <x:c r="K11" s="42" t="n">
        <x:f>IF(J11=1,ROUNDDOWN(G11*I11/H11,0),0)</x:f>
        <x:v>11404</x:v>
      </x:c>
      <x:c r="L11" s="41" t="str">
        <x:v>Sales and Trends</x:v>
      </x:c>
      <x:c r="M11" s="41" t="str"/>
    </x:row>
    <x:row r="12" ht="15" hidden="0" customHeight="1">
      <x:c r="A12" s="41" t="str">
        <x:v>apple-2026-03-vn</x:v>
      </x:c>
      <x:c r="B12" s="47" t="n">
        <x:v>46112</x:v>
      </x:c>
      <x:c r="C12" s="41" t="str">
        <x:v>Apple</x:v>
      </x:c>
      <x:c r="D12" s="41" t="str">
        <x:v>인앱결제</x:v>
      </x:c>
      <x:c r="E12" s="41" t="str">
        <x:v>VN</x:v>
      </x:c>
      <x:c r="F12" s="41" t="str">
        <x:v>VND</x:v>
      </x:c>
      <x:c r="G12" s="77" t="n">
        <x:v>179000</x:v>
      </x:c>
      <x:c r="H12" s="62" t="n">
        <x:f>SUMIFS('환율'!$C$5:$C$18,'환율'!$A$5:$A$18,B12,'환율'!$B$5:$B$18,F12)</x:f>
        <x:v>100</x:v>
      </x:c>
      <x:c r="I12" s="63" t="n">
        <x:f>SUMIFS('환율'!$D$5:$D$18,'환율'!$A$5:$A$18,B12,'환율'!$B$5:$B$18,F12)</x:f>
        <x:v>5.74</x:v>
      </x:c>
      <x:c r="J12" s="41" t="n">
        <x:v>1</x:v>
      </x:c>
      <x:c r="K12" s="42" t="n">
        <x:f>IF(J12=1,ROUNDDOWN(G12*I12/H12,0),0)</x:f>
        <x:v>10274</x:v>
      </x:c>
      <x:c r="L12" s="41" t="str">
        <x:v>Sales and Trends</x:v>
      </x:c>
      <x:c r="M12" s="41" t="str"/>
    </x:row>
    <x:row r="13" ht="15" hidden="0" customHeight="1">
      <x:c r="A13" s="41" t="str">
        <x:v>google-2026-01-us</x:v>
      </x:c>
      <x:c r="B13" s="47" t="n">
        <x:v>46053</x:v>
      </x:c>
      <x:c r="C13" s="41" t="str">
        <x:v>Google</x:v>
      </x:c>
      <x:c r="D13" s="41" t="str">
        <x:v>인앱결제</x:v>
      </x:c>
      <x:c r="E13" s="41" t="str">
        <x:v>US</x:v>
      </x:c>
      <x:c r="F13" s="41" t="str">
        <x:v>KRW</x:v>
      </x:c>
      <x:c r="G13" s="77" t="n">
        <x:v>1430</x:v>
      </x:c>
      <x:c r="H13" s="62" t="n">
        <x:f>SUMIFS('환율'!$C$5:$C$18,'환율'!$A$5:$A$18,B13,'환율'!$B$5:$B$18,F13)</x:f>
        <x:v>1</x:v>
      </x:c>
      <x:c r="I13" s="63" t="n">
        <x:f>SUMIFS('환율'!$D$5:$D$18,'환율'!$A$5:$A$18,B13,'환율'!$B$5:$B$18,F13)</x:f>
        <x:v>1</x:v>
      </x:c>
      <x:c r="J13" s="41" t="n">
        <x:v>1</x:v>
      </x:c>
      <x:c r="K13" s="42" t="n">
        <x:f>IF(J13=1,ROUNDDOWN(G13*I13/H13,0),0)</x:f>
        <x:v>1430</x:v>
      </x:c>
      <x:c r="L13" s="41" t="str">
        <x:v>Play Console 원화 보고서</x:v>
      </x:c>
      <x:c r="M13" s="41" t="str"/>
    </x:row>
    <x:row r="14" ht="15" hidden="0" customHeight="1">
      <x:c r="A14" s="41" t="str">
        <x:v>google-2026-02-hk</x:v>
      </x:c>
      <x:c r="B14" s="47" t="n">
        <x:v>46081</x:v>
      </x:c>
      <x:c r="C14" s="41" t="str">
        <x:v>Google</x:v>
      </x:c>
      <x:c r="D14" s="41" t="str">
        <x:v>인앱결제</x:v>
      </x:c>
      <x:c r="E14" s="41" t="str">
        <x:v>HK</x:v>
      </x:c>
      <x:c r="F14" s="41" t="str">
        <x:v>KRW</x:v>
      </x:c>
      <x:c r="G14" s="77" t="n">
        <x:v>7389</x:v>
      </x:c>
      <x:c r="H14" s="62" t="n">
        <x:f>SUMIFS('환율'!$C$5:$C$18,'환율'!$A$5:$A$18,B14,'환율'!$B$5:$B$18,F14)</x:f>
        <x:v>1</x:v>
      </x:c>
      <x:c r="I14" s="63" t="n">
        <x:f>SUMIFS('환율'!$D$5:$D$18,'환율'!$A$5:$A$18,B14,'환율'!$B$5:$B$18,F14)</x:f>
        <x:v>1</x:v>
      </x:c>
      <x:c r="J14" s="41" t="n">
        <x:v>1</x:v>
      </x:c>
      <x:c r="K14" s="42" t="n">
        <x:f>IF(J14=1,ROUNDDOWN(G14*I14/H14,0),0)</x:f>
        <x:v>7389</x:v>
      </x:c>
      <x:c r="L14" s="41" t="str">
        <x:v>Play Console 원화 보고서</x:v>
      </x:c>
      <x:c r="M14" s="41" t="str"/>
    </x:row>
    <x:row r="15" ht="15" hidden="0" customHeight="1">
      <x:c r="A15" s="41" t="str">
        <x:v>admob-2026-01</x:v>
      </x:c>
      <x:c r="B15" s="47" t="n">
        <x:v>46053</x:v>
      </x:c>
      <x:c r="C15" s="41" t="str">
        <x:v>AdMob</x:v>
      </x:c>
      <x:c r="D15" s="41" t="str">
        <x:v>광고 확정수익</x:v>
      </x:c>
      <x:c r="E15" s="41" t="str">
        <x:v>해외</x:v>
      </x:c>
      <x:c r="F15" s="41" t="str">
        <x:v>USD</x:v>
      </x:c>
      <x:c r="G15" s="77" t="n">
        <x:v>20.27</x:v>
      </x:c>
      <x:c r="H15" s="62" t="n">
        <x:f>SUMIFS('환율'!$C$5:$C$18,'환율'!$A$5:$A$18,B15,'환율'!$B$5:$B$18,F15)</x:f>
        <x:v>1</x:v>
      </x:c>
      <x:c r="I15" s="63" t="n">
        <x:f>SUMIFS('환율'!$D$5:$D$18,'환율'!$A$5:$A$18,B15,'환율'!$B$5:$B$18,F15)</x:f>
        <x:v>1427</x:v>
      </x:c>
      <x:c r="J15" s="41" t="n">
        <x:v>1</x:v>
      </x:c>
      <x:c r="K15" s="42" t="n">
        <x:f>IF(J15=1,ROUNDDOWN(G15*I15/H15,0),0)</x:f>
        <x:v>28925</x:v>
      </x:c>
      <x:c r="L15" s="41" t="str">
        <x:v>AdMob+AppLovin(NB)</x:v>
      </x:c>
      <x:c r="M15" s="41" t="str"/>
    </x:row>
    <x:row r="16" ht="15" hidden="0" customHeight="1">
      <x:c r="A16" s="41" t="str">
        <x:v>admob-2026-01-prior-adjustment</x:v>
      </x:c>
      <x:c r="B16" s="47" t="n">
        <x:v>46053</x:v>
      </x:c>
      <x:c r="C16" s="41" t="str">
        <x:v>AdMob</x:v>
      </x:c>
      <x:c r="D16" s="41" t="str">
        <x:v>전기 무효트래픽 조정</x:v>
      </x:c>
      <x:c r="E16" s="41" t="str">
        <x:v>해외</x:v>
      </x:c>
      <x:c r="F16" s="41" t="str">
        <x:v>USD</x:v>
      </x:c>
      <x:c r="G16" s="77" t="n">
        <x:v>-0.18</x:v>
      </x:c>
      <x:c r="H16" s="62" t="n">
        <x:f>SUMIFS('환율'!$C$5:$C$18,'환율'!$A$5:$A$18,B16,'환율'!$B$5:$B$18,F16)</x:f>
        <x:v>1</x:v>
      </x:c>
      <x:c r="I16" s="63" t="n">
        <x:f>SUMIFS('환율'!$D$5:$D$18,'환율'!$A$5:$A$18,B16,'환율'!$B$5:$B$18,F16)</x:f>
        <x:v>1427</x:v>
      </x:c>
      <x:c r="J16" s="41" t="n">
        <x:v>0</x:v>
      </x:c>
      <x:c r="K16" s="42" t="n">
        <x:f>IF(J16=1,ROUNDDOWN(G16*I16/H16,0),0)</x:f>
        <x:v>0</x:v>
      </x:c>
      <x:c r="L16" s="41" t="str">
        <x:v>2026-01-04 거래</x:v>
      </x:c>
      <x:c r="M16" s="41" t="str">
        <x:v>2025년 말 잔액에 대한 전기 조정</x:v>
      </x:c>
    </x:row>
    <x:row r="17" ht="15" hidden="0" customHeight="1">
      <x:c r="A17" s="41" t="str">
        <x:v>admob-2026-02</x:v>
      </x:c>
      <x:c r="B17" s="47" t="n">
        <x:v>46081</x:v>
      </x:c>
      <x:c r="C17" s="41" t="str">
        <x:v>AdMob</x:v>
      </x:c>
      <x:c r="D17" s="41" t="str">
        <x:v>광고 확정수익</x:v>
      </x:c>
      <x:c r="E17" s="41" t="str">
        <x:v>해외</x:v>
      </x:c>
      <x:c r="F17" s="41" t="str">
        <x:v>USD</x:v>
      </x:c>
      <x:c r="G17" s="77" t="n">
        <x:v>20.3</x:v>
      </x:c>
      <x:c r="H17" s="62" t="n">
        <x:f>SUMIFS('환율'!$C$5:$C$18,'환율'!$A$5:$A$18,B17,'환율'!$B$5:$B$18,F17)</x:f>
        <x:v>1</x:v>
      </x:c>
      <x:c r="I17" s="63" t="n">
        <x:f>SUMIFS('환율'!$D$5:$D$18,'환율'!$A$5:$A$18,B17,'환율'!$B$5:$B$18,F17)</x:f>
        <x:v>1424.5</x:v>
      </x:c>
      <x:c r="J17" s="41" t="n">
        <x:v>1</x:v>
      </x:c>
      <x:c r="K17" s="42" t="n">
        <x:f>IF(J17=1,ROUNDDOWN(G17*I17/H17,0),0)</x:f>
        <x:v>28917</x:v>
      </x:c>
      <x:c r="L17" s="41" t="str">
        <x:v>AdMob+AppLovin(NB)</x:v>
      </x:c>
      <x:c r="M17" s="41" t="str"/>
    </x:row>
    <x:row r="18" ht="15" hidden="0" customHeight="1">
      <x:c r="A18" s="41" t="str">
        <x:v>admob-2026-03</x:v>
      </x:c>
      <x:c r="B18" s="47" t="n">
        <x:v>46112</x:v>
      </x:c>
      <x:c r="C18" s="41" t="str">
        <x:v>AdMob</x:v>
      </x:c>
      <x:c r="D18" s="41" t="str">
        <x:v>광고 확정수익</x:v>
      </x:c>
      <x:c r="E18" s="41" t="str">
        <x:v>해외</x:v>
      </x:c>
      <x:c r="F18" s="41" t="str">
        <x:v>USD</x:v>
      </x:c>
      <x:c r="G18" s="77" t="n">
        <x:v>18.85</x:v>
      </x:c>
      <x:c r="H18" s="62" t="n">
        <x:f>SUMIFS('환율'!$C$5:$C$18,'환율'!$A$5:$A$18,B18,'환율'!$B$5:$B$18,F18)</x:f>
        <x:v>1</x:v>
      </x:c>
      <x:c r="I18" s="63" t="n">
        <x:f>SUMIFS('환율'!$D$5:$D$18,'환율'!$A$5:$A$18,B18,'환율'!$B$5:$B$18,F18)</x:f>
        <x:v>1513.4</x:v>
      </x:c>
      <x:c r="J18" s="41" t="n">
        <x:v>1</x:v>
      </x:c>
      <x:c r="K18" s="42" t="n">
        <x:f>IF(J18=1,ROUNDDOWN(G18*I18/H18,0),0)</x:f>
        <x:v>28527</x:v>
      </x:c>
      <x:c r="L18" s="41" t="str">
        <x:v>AdMob+AppLovin(NB)</x:v>
      </x:c>
      <x:c r="M18" s="41" t="str"/>
    </x:row>
    <x:row r="19" ht="15" hidden="0" customHeight="1">
      <x:c r="A19" s="41" t="str">
        <x:v>admob-2026-04</x:v>
      </x:c>
      <x:c r="B19" s="47" t="n">
        <x:v>46142</x:v>
      </x:c>
      <x:c r="C19" s="41" t="str">
        <x:v>AdMob</x:v>
      </x:c>
      <x:c r="D19" s="41" t="str">
        <x:v>광고 확정수익</x:v>
      </x:c>
      <x:c r="E19" s="41" t="str">
        <x:v>해외</x:v>
      </x:c>
      <x:c r="F19" s="41" t="str">
        <x:v>USD</x:v>
      </x:c>
      <x:c r="G19" s="77" t="n">
        <x:v>3.52</x:v>
      </x:c>
      <x:c r="H19" s="62" t="n">
        <x:f>SUMIFS('환율'!$C$5:$C$18,'환율'!$A$5:$A$18,B19,'환율'!$B$5:$B$18,F19)</x:f>
        <x:v>1</x:v>
      </x:c>
      <x:c r="I19" s="63" t="n">
        <x:f>SUMIFS('환율'!$D$5:$D$18,'환율'!$A$5:$A$18,B19,'환율'!$B$5:$B$18,F19)</x:f>
        <x:v>1476.1</x:v>
      </x:c>
      <x:c r="J19" s="41" t="n">
        <x:v>1</x:v>
      </x:c>
      <x:c r="K19" s="42" t="n">
        <x:f>IF(J19=1,ROUNDDOWN(G19*I19/H19,0),0)</x:f>
        <x:v>5195</x:v>
      </x:c>
      <x:c r="L19" s="41" t="str">
        <x:v>월별 거래 CSV</x:v>
      </x:c>
      <x:c r="M19" s="41" t="str">
        <x:v>무효트래픽 조정 반영</x:v>
      </x:c>
    </x:row>
    <x:row r="20" ht="15" hidden="0" customHeight="1">
      <x:c r="A20" s="41" t="str">
        <x:v>admob-2026-05</x:v>
      </x:c>
      <x:c r="B20" s="47" t="n">
        <x:v>46173</x:v>
      </x:c>
      <x:c r="C20" s="41" t="str">
        <x:v>AdMob</x:v>
      </x:c>
      <x:c r="D20" s="41" t="str">
        <x:v>광고 확정수익</x:v>
      </x:c>
      <x:c r="E20" s="41" t="str">
        <x:v>해외</x:v>
      </x:c>
      <x:c r="F20" s="41" t="str">
        <x:v>USD</x:v>
      </x:c>
      <x:c r="G20" s="77" t="n">
        <x:v>3.88</x:v>
      </x:c>
      <x:c r="H20" s="62" t="n">
        <x:f>SUMIFS('환율'!$C$5:$C$18,'환율'!$A$5:$A$18,B20,'환율'!$B$5:$B$18,F20)</x:f>
        <x:v>1</x:v>
      </x:c>
      <x:c r="I20" s="63" t="n">
        <x:f>SUMIFS('환율'!$D$5:$D$18,'환율'!$A$5:$A$18,B20,'환율'!$B$5:$B$18,F20)</x:f>
        <x:v>1505.8</x:v>
      </x:c>
      <x:c r="J20" s="41" t="n">
        <x:v>1</x:v>
      </x:c>
      <x:c r="K20" s="42" t="n">
        <x:f>IF(J20=1,ROUNDDOWN(G20*I20/H20,0),0)</x:f>
        <x:v>5842</x:v>
      </x:c>
      <x:c r="L20" s="41" t="str">
        <x:v>월별 거래 CSV</x:v>
      </x:c>
      <x:c r="M20" s="41" t="str">
        <x:v>AdSense 0.01 포함</x:v>
      </x:c>
    </x:row>
    <x:row r="21" ht="15" hidden="0" customHeight="1">
      <x:c r="A21" s="41" t="str">
        <x:v>admob-2026-06</x:v>
      </x:c>
      <x:c r="B21" s="47" t="n">
        <x:v>46203</x:v>
      </x:c>
      <x:c r="C21" s="41" t="str">
        <x:v>AdMob</x:v>
      </x:c>
      <x:c r="D21" s="41" t="str">
        <x:v>광고 확정수익</x:v>
      </x:c>
      <x:c r="E21" s="41" t="str">
        <x:v>해외</x:v>
      </x:c>
      <x:c r="F21" s="41" t="str">
        <x:v>USD</x:v>
      </x:c>
      <x:c r="G21" s="77" t="n">
        <x:v>5.76</x:v>
      </x:c>
      <x:c r="H21" s="62" t="n">
        <x:f>SUMIFS('환율'!$C$5:$C$18,'환율'!$A$5:$A$18,B21,'환율'!$B$5:$B$18,F21)</x:f>
        <x:v>1</x:v>
      </x:c>
      <x:c r="I21" s="63" t="n">
        <x:f>SUMIFS('환율'!$D$5:$D$18,'환율'!$A$5:$A$18,B21,'환율'!$B$5:$B$18,F21)</x:f>
        <x:v>1541.5</x:v>
      </x:c>
      <x:c r="J21" s="41" t="n">
        <x:v>1</x:v>
      </x:c>
      <x:c r="K21" s="42" t="n">
        <x:f>IF(J21=1,ROUNDDOWN(G21*I21/H21,0),0)</x:f>
        <x:v>8879</x:v>
      </x:c>
      <x:c r="L21" s="41" t="str">
        <x:v>월별 거래 CSV</x:v>
      </x:c>
      <x:c r="M21" s="41" t="str">
        <x:v>AdSense 0.02 포함</x:v>
      </x:c>
    </x:row>
    <x:row r="22" ht="15" hidden="0" customHeight="1">
      <x:c r="A22" s="41" t="str">
        <x:v>meta-2026-02</x:v>
      </x:c>
      <x:c r="B22" s="47" t="n">
        <x:v>46081</x:v>
      </x:c>
      <x:c r="C22" s="41" t="str">
        <x:v>Meta</x:v>
      </x:c>
      <x:c r="D22" s="41" t="str">
        <x:v>광고 확정수익</x:v>
      </x:c>
      <x:c r="E22" s="41" t="str">
        <x:v>해외</x:v>
      </x:c>
      <x:c r="F22" s="41" t="str">
        <x:v>USD</x:v>
      </x:c>
      <x:c r="G22" s="77" t="n">
        <x:v>0.07</x:v>
      </x:c>
      <x:c r="H22" s="62" t="n">
        <x:f>SUMIFS('환율'!$C$5:$C$18,'환율'!$A$5:$A$18,B22,'환율'!$B$5:$B$18,F22)</x:f>
        <x:v>1</x:v>
      </x:c>
      <x:c r="I22" s="63" t="n">
        <x:f>SUMIFS('환율'!$D$5:$D$18,'환율'!$A$5:$A$18,B22,'환율'!$B$5:$B$18,F22)</x:f>
        <x:v>1424.5</x:v>
      </x:c>
      <x:c r="J22" s="41" t="n">
        <x:v>1</x:v>
      </x:c>
      <x:c r="K22" s="42" t="n">
        <x:f>IF(J22=1,ROUNDDOWN(G22*I22/H22,0),0)</x:f>
        <x:v>99</x:v>
      </x:c>
      <x:c r="L22" s="41" t="str">
        <x:v>Feb Statement</x:v>
      </x:c>
      <x:c r="M22" s="41" t="str"/>
    </x:row>
    <x:row r="23" ht="15" hidden="0" customHeight="1">
      <x:c r="A23" s="41" t="str">
        <x:v>meta-2026-03</x:v>
      </x:c>
      <x:c r="B23" s="47" t="n">
        <x:v>46112</x:v>
      </x:c>
      <x:c r="C23" s="41" t="str">
        <x:v>Meta</x:v>
      </x:c>
      <x:c r="D23" s="41" t="str">
        <x:v>광고 확정수익</x:v>
      </x:c>
      <x:c r="E23" s="41" t="str">
        <x:v>해외</x:v>
      </x:c>
      <x:c r="F23" s="41" t="str">
        <x:v>USD</x:v>
      </x:c>
      <x:c r="G23" s="77" t="n">
        <x:v>0.36</x:v>
      </x:c>
      <x:c r="H23" s="62" t="n">
        <x:f>SUMIFS('환율'!$C$5:$C$18,'환율'!$A$5:$A$18,B23,'환율'!$B$5:$B$18,F23)</x:f>
        <x:v>1</x:v>
      </x:c>
      <x:c r="I23" s="63" t="n">
        <x:f>SUMIFS('환율'!$D$5:$D$18,'환율'!$A$5:$A$18,B23,'환율'!$B$5:$B$18,F23)</x:f>
        <x:v>1513.4</x:v>
      </x:c>
      <x:c r="J23" s="41" t="n">
        <x:v>1</x:v>
      </x:c>
      <x:c r="K23" s="42" t="n">
        <x:f>IF(J23=1,ROUNDDOWN(G23*I23/H23,0),0)</x:f>
        <x:v>544</x:v>
      </x:c>
      <x:c r="L23" s="41" t="str">
        <x:v>Mar Statement</x:v>
      </x:c>
      <x:c r="M23" s="41" t="str"/>
    </x:row>
    <x:row r="24" ht="15" hidden="0" customHeight="1">
      <x:c r="A24" s="41" t="str">
        <x:v>meta-2026-04</x:v>
      </x:c>
      <x:c r="B24" s="47" t="n">
        <x:v>46142</x:v>
      </x:c>
      <x:c r="C24" s="41" t="str">
        <x:v>Meta</x:v>
      </x:c>
      <x:c r="D24" s="41" t="str">
        <x:v>광고 확정수익</x:v>
      </x:c>
      <x:c r="E24" s="41" t="str">
        <x:v>해외</x:v>
      </x:c>
      <x:c r="F24" s="41" t="str">
        <x:v>USD</x:v>
      </x:c>
      <x:c r="G24" s="77" t="n">
        <x:v>0.01</x:v>
      </x:c>
      <x:c r="H24" s="62" t="n">
        <x:f>SUMIFS('환율'!$C$5:$C$18,'환율'!$A$5:$A$18,B24,'환율'!$B$5:$B$18,F24)</x:f>
        <x:v>1</x:v>
      </x:c>
      <x:c r="I24" s="63" t="n">
        <x:f>SUMIFS('환율'!$D$5:$D$18,'환율'!$A$5:$A$18,B24,'환율'!$B$5:$B$18,F24)</x:f>
        <x:v>1476.1</x:v>
      </x:c>
      <x:c r="J24" s="41" t="n">
        <x:v>1</x:v>
      </x:c>
      <x:c r="K24" s="42" t="n">
        <x:f>IF(J24=1,ROUNDDOWN(G24*I24/H24,0),0)</x:f>
        <x:v>14</x:v>
      </x:c>
      <x:c r="L24" s="41" t="str">
        <x:v>Apr Statement</x:v>
      </x:c>
      <x:c r="M24" s="41" t="str"/>
    </x:row>
    <x:row r="25" ht="15" hidden="0" customHeight="1">
      <x:c r="A25" s="37"/>
      <x:c r="B25" s="37"/>
      <x:c r="C25" s="37"/>
      <x:c r="D25" s="37"/>
      <x:c r="E25" s="37"/>
      <x:c r="F25" s="37"/>
      <x:c r="G25" s="37"/>
      <x:c r="H25" s="37"/>
      <x:c r="I25" s="37"/>
      <x:c r="J25" s="37"/>
      <x:c r="K25" s="37"/>
      <x:c r="L25" s="37"/>
      <x:c r="M25" s="37"/>
    </x:row>
    <x:row r="26" ht="15.600000381469727" hidden="0" customHeight="1">
      <x:c r="A26" s="78" t="str">
        <x:v>영세율 후보 공급가액 합계</x:v>
      </x:c>
      <x:c r="B26" s="78" t="str">
        <x:v>영세율 후보 공급가액 합계</x:v>
      </x:c>
      <x:c r="C26" s="78" t="str">
        <x:v>영세율 후보 공급가액 합계</x:v>
      </x:c>
      <x:c r="D26" s="78" t="str">
        <x:v>영세율 후보 공급가액 합계</x:v>
      </x:c>
      <x:c r="E26" s="78" t="str">
        <x:v>영세율 후보 공급가액 합계</x:v>
      </x:c>
      <x:c r="F26" s="78" t="str">
        <x:v>영세율 후보 공급가액 합계</x:v>
      </x:c>
      <x:c r="G26" s="78" t="str">
        <x:v>영세율 후보 공급가액 합계</x:v>
      </x:c>
      <x:c r="H26" s="78" t="str">
        <x:v>영세율 후보 공급가액 합계</x:v>
      </x:c>
      <x:c r="I26" s="78" t="str">
        <x:v>영세율 후보 공급가액 합계</x:v>
      </x:c>
      <x:c r="J26" s="78" t="str">
        <x:v>영세율 후보 공급가액 합계</x:v>
      </x:c>
      <x:c r="K26" s="79" t="n">
        <x:f>SUM(K7:K24)</x:f>
        <x:v>287902</x:v>
      </x:c>
      <x:c r="L26" s="79"/>
      <x:c r="M26" s="79"/>
    </x:row>
    <x:row r="27" ht="15" hidden="0" customHeight="1">
      <x:c r="A27" s="37"/>
      <x:c r="B27" s="37"/>
      <x:c r="C27" s="37"/>
      <x:c r="D27" s="37"/>
      <x:c r="E27" s="37"/>
      <x:c r="F27" s="37"/>
      <x:c r="G27" s="37"/>
      <x:c r="H27" s="37"/>
      <x:c r="I27" s="37"/>
      <x:c r="J27" s="37"/>
      <x:c r="K27" s="37"/>
      <x:c r="L27" s="37"/>
      <x:c r="M27" s="37"/>
    </x:row>
    <x:row r="28" ht="15" hidden="0" customHeight="1">
      <x:c r="A28" s="37"/>
      <x:c r="B28" s="37"/>
      <x:c r="C28" s="37"/>
      <x:c r="D28" s="37"/>
      <x:c r="E28" s="37"/>
      <x:c r="F28" s="37"/>
      <x:c r="G28" s="37"/>
      <x:c r="H28" s="37"/>
      <x:c r="I28" s="37"/>
      <x:c r="J28" s="37"/>
      <x:c r="K28" s="37"/>
      <x:c r="L28" s="37"/>
      <x:c r="M28" s="37"/>
    </x:row>
    <x:row r="29" ht="15" hidden="0" customHeight="1">
      <x:c r="A29" s="37"/>
      <x:c r="B29" s="37"/>
      <x:c r="C29" s="37"/>
      <x:c r="D29" s="37"/>
      <x:c r="E29" s="37"/>
      <x:c r="F29" s="37"/>
      <x:c r="G29" s="37"/>
      <x:c r="H29" s="37"/>
      <x:c r="I29" s="37"/>
      <x:c r="J29" s="32" t="str">
        <x:v>플랫폼</x:v>
      </x:c>
      <x:c r="K29" s="32" t="str">
        <x:v>원화 합계</x:v>
      </x:c>
      <x:c r="L29" s="37"/>
      <x:c r="M29" s="37"/>
    </x:row>
    <x:row r="30" ht="15" hidden="0" customHeight="1">
      <x:c r="A30" s="37"/>
      <x:c r="B30" s="37"/>
      <x:c r="C30" s="37"/>
      <x:c r="D30" s="37"/>
      <x:c r="E30" s="37"/>
      <x:c r="F30" s="37"/>
      <x:c r="G30" s="37"/>
      <x:c r="H30" s="37"/>
      <x:c r="I30" s="37"/>
      <x:c r="J30" s="41" t="str">
        <x:v>Apple</x:v>
      </x:c>
      <x:c r="K30" s="42" t="n">
        <x:f>SUMIFS($K$7:$K$24,$C$7:$C$24,J30)</x:f>
        <x:v>172141</x:v>
      </x:c>
      <x:c r="L30" s="37"/>
      <x:c r="M30" s="37"/>
    </x:row>
    <x:row r="31" ht="15" hidden="0" customHeight="1">
      <x:c r="A31" s="37"/>
      <x:c r="B31" s="37"/>
      <x:c r="C31" s="37"/>
      <x:c r="D31" s="37"/>
      <x:c r="E31" s="37"/>
      <x:c r="F31" s="37"/>
      <x:c r="G31" s="37"/>
      <x:c r="H31" s="37"/>
      <x:c r="I31" s="37"/>
      <x:c r="J31" s="41" t="str">
        <x:v>Google</x:v>
      </x:c>
      <x:c r="K31" s="42" t="n">
        <x:f>SUMIFS($K$7:$K$24,$C$7:$C$24,J31)</x:f>
        <x:v>8819</x:v>
      </x:c>
      <x:c r="L31" s="37"/>
      <x:c r="M31" s="37"/>
    </x:row>
    <x:row r="32" ht="15" hidden="0" customHeight="1">
      <x:c r="A32" s="37"/>
      <x:c r="B32" s="37"/>
      <x:c r="C32" s="37"/>
      <x:c r="D32" s="37"/>
      <x:c r="E32" s="37"/>
      <x:c r="F32" s="37"/>
      <x:c r="G32" s="37"/>
      <x:c r="H32" s="37"/>
      <x:c r="I32" s="37"/>
      <x:c r="J32" s="41" t="str">
        <x:v>AdMob</x:v>
      </x:c>
      <x:c r="K32" s="42" t="n">
        <x:f>SUMIFS($K$7:$K$24,$C$7:$C$24,J32)</x:f>
        <x:v>106285</x:v>
      </x:c>
      <x:c r="L32" s="37"/>
      <x:c r="M32" s="37"/>
    </x:row>
    <x:row r="33" ht="15" hidden="0" customHeight="1">
      <x:c r="A33" s="37"/>
      <x:c r="B33" s="37"/>
      <x:c r="C33" s="37"/>
      <x:c r="D33" s="37"/>
      <x:c r="E33" s="37"/>
      <x:c r="F33" s="37"/>
      <x:c r="G33" s="37"/>
      <x:c r="H33" s="37"/>
      <x:c r="I33" s="37"/>
      <x:c r="J33" s="41" t="str">
        <x:v>Meta</x:v>
      </x:c>
      <x:c r="K33" s="42" t="n">
        <x:f>SUMIFS($K$7:$K$24,$C$7:$C$24,J33)</x:f>
        <x:v>657</x:v>
      </x:c>
      <x:c r="L33" s="37"/>
      <x:c r="M33" s="37"/>
    </x:row>
  </x:sheetData>
  <x:mergeCells>
    <x:mergeCell ref="A1:M2"/>
    <x:mergeCell ref="A4:M4"/>
    <x:mergeCell ref="A26:J26"/>
    <x:mergeCell ref="K26:M26"/>
  </x:mergeCells>
  <x:conditionalFormatting sqref="A7:M24">
    <x:cfRule type="expression" dxfId="0" priority="1">
      <x:formula>$J7=0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23" hidden="0" customWidth="1"/>
    <x:col min="4" max="4" width="9" hidden="0" customWidth="1"/>
    <x:col min="5" max="5" width="14" hidden="0" customWidth="1"/>
    <x:col min="6" max="6" width="13" hidden="0" customWidth="1"/>
    <x:col min="7" max="7" width="12" hidden="0" customWidth="1"/>
    <x:col min="8" max="8" width="14" hidden="0" customWidth="1"/>
    <x:col min="9" max="9" width="9" hidden="0" customWidth="1"/>
    <x:col min="10" max="10" width="16" hidden="0" customWidth="1"/>
    <x:col min="11" max="11" width="24" hidden="0" customWidth="1"/>
    <x:col min="12" max="12" width="28" hidden="0" customWidth="1"/>
  </x:cols>
  <x:sheetData>
    <x:row r="1" ht="30" customHeight="1">
      <x:c r="A1" s="36" t="str">
        <x:v>2026년 제1기 확정 공제 매입세액</x:v>
      </x:c>
      <x:c r="B1" s="36" t="str">
        <x:v>2026년 제1기 확정 공제 매입세액</x:v>
      </x:c>
      <x:c r="C1" s="36" t="str">
        <x:v>2026년 제1기 확정 공제 매입세액</x:v>
      </x:c>
      <x:c r="D1" s="36" t="str">
        <x:v>2026년 제1기 확정 공제 매입세액</x:v>
      </x:c>
      <x:c r="E1" s="36" t="str">
        <x:v>2026년 제1기 확정 공제 매입세액</x:v>
      </x:c>
      <x:c r="F1" s="36" t="str">
        <x:v>2026년 제1기 확정 공제 매입세액</x:v>
      </x:c>
      <x:c r="G1" s="36" t="str">
        <x:v>2026년 제1기 확정 공제 매입세액</x:v>
      </x:c>
      <x:c r="H1" s="36" t="str">
        <x:v>2026년 제1기 확정 공제 매입세액</x:v>
      </x:c>
      <x:c r="I1" s="36" t="str">
        <x:v>2026년 제1기 확정 공제 매입세액</x:v>
      </x:c>
      <x:c r="J1" s="36" t="str">
        <x:v>2026년 제1기 확정 공제 매입세액</x:v>
      </x:c>
      <x:c r="K1" s="36" t="str">
        <x:v>2026년 제1기 확정 공제 매입세액</x:v>
      </x:c>
      <x:c r="L1" s="36" t="str">
        <x:v>2026년 제1기 확정 공제 매입세액</x:v>
      </x:c>
    </x:row>
    <x:row r="2" ht="30" customHeight="1">
      <x:c r="A2" s="36" t="str">
        <x:v>2026년 제1기 확정 공제 매입세액</x:v>
      </x:c>
      <x:c r="B2" s="36" t="str">
        <x:v>2026년 제1기 확정 공제 매입세액</x:v>
      </x:c>
      <x:c r="C2" s="36" t="str">
        <x:v>2026년 제1기 확정 공제 매입세액</x:v>
      </x:c>
      <x:c r="D2" s="36" t="str">
        <x:v>2026년 제1기 확정 공제 매입세액</x:v>
      </x:c>
      <x:c r="E2" s="36" t="str">
        <x:v>2026년 제1기 확정 공제 매입세액</x:v>
      </x:c>
      <x:c r="F2" s="36" t="str">
        <x:v>2026년 제1기 확정 공제 매입세액</x:v>
      </x:c>
      <x:c r="G2" s="36" t="str">
        <x:v>2026년 제1기 확정 공제 매입세액</x:v>
      </x:c>
      <x:c r="H2" s="36" t="str">
        <x:v>2026년 제1기 확정 공제 매입세액</x:v>
      </x:c>
      <x:c r="I2" s="36" t="str">
        <x:v>2026년 제1기 확정 공제 매입세액</x:v>
      </x:c>
      <x:c r="J2" s="36" t="str">
        <x:v>2026년 제1기 확정 공제 매입세액</x:v>
      </x:c>
      <x:c r="K2" s="36" t="str">
        <x:v>2026년 제1기 확정 공제 매입세액</x:v>
      </x:c>
      <x:c r="L2" s="36" t="str">
        <x:v>2026년 제1기 확정 공제 매입세액</x:v>
      </x:c>
    </x:row>
    <x:row r="3" ht="15" hidden="0" customHeight="1">
      <x:c r="A3" s="37"/>
      <x:c r="B3" s="37"/>
      <x:c r="C3" s="37"/>
      <x:c r="D3" s="37"/>
      <x:c r="E3" s="37"/>
      <x:c r="F3" s="37"/>
      <x:c r="G3" s="37"/>
      <x:c r="H3" s="37"/>
      <x:c r="I3" s="37"/>
      <x:c r="J3" s="37"/>
      <x:c r="K3" s="37"/>
      <x:c r="L3" s="37"/>
    </x:row>
    <x:row r="4" ht="15" hidden="0" customHeight="1">
      <x:c r="A4" s="57" t="str">
        <x:v>공제=1인 행만 매입세액 합계에 들어갑니다. 각 행은 공급가액+세액+비과세=합계가 일치해야 합니다.</x:v>
      </x:c>
      <x:c r="B4" s="58" t="str">
        <x:v>공제=1인 행만 매입세액 합계에 들어갑니다. 각 행은 공급가액+세액+비과세=합계가 일치해야 합니다.</x:v>
      </x:c>
      <x:c r="C4" s="58" t="str">
        <x:v>공제=1인 행만 매입세액 합계에 들어갑니다. 각 행은 공급가액+세액+비과세=합계가 일치해야 합니다.</x:v>
      </x:c>
      <x:c r="D4" s="58" t="str">
        <x:v>공제=1인 행만 매입세액 합계에 들어갑니다. 각 행은 공급가액+세액+비과세=합계가 일치해야 합니다.</x:v>
      </x:c>
      <x:c r="E4" s="58" t="str">
        <x:v>공제=1인 행만 매입세액 합계에 들어갑니다. 각 행은 공급가액+세액+비과세=합계가 일치해야 합니다.</x:v>
      </x:c>
      <x:c r="F4" s="58" t="str">
        <x:v>공제=1인 행만 매입세액 합계에 들어갑니다. 각 행은 공급가액+세액+비과세=합계가 일치해야 합니다.</x:v>
      </x:c>
      <x:c r="G4" s="58" t="str">
        <x:v>공제=1인 행만 매입세액 합계에 들어갑니다. 각 행은 공급가액+세액+비과세=합계가 일치해야 합니다.</x:v>
      </x:c>
      <x:c r="H4" s="58" t="str">
        <x:v>공제=1인 행만 매입세액 합계에 들어갑니다. 각 행은 공급가액+세액+비과세=합계가 일치해야 합니다.</x:v>
      </x:c>
      <x:c r="I4" s="58" t="str">
        <x:v>공제=1인 행만 매입세액 합계에 들어갑니다. 각 행은 공급가액+세액+비과세=합계가 일치해야 합니다.</x:v>
      </x:c>
      <x:c r="J4" s="58" t="str">
        <x:v>공제=1인 행만 매입세액 합계에 들어갑니다. 각 행은 공급가액+세액+비과세=합계가 일치해야 합니다.</x:v>
      </x:c>
      <x:c r="K4" s="58" t="str">
        <x:v>공제=1인 행만 매입세액 합계에 들어갑니다. 각 행은 공급가액+세액+비과세=합계가 일치해야 합니다.</x:v>
      </x:c>
      <x:c r="L4" s="59" t="str">
        <x:v>공제=1인 행만 매입세액 합계에 들어갑니다. 각 행은 공급가액+세액+비과세=합계가 일치해야 합니다.</x:v>
      </x:c>
    </x:row>
    <x:row r="5" ht="15" hidden="0" customHeight="1">
      <x:c r="A5" s="37"/>
      <x:c r="B5" s="37"/>
      <x:c r="C5" s="37"/>
      <x:c r="D5" s="37"/>
      <x:c r="E5" s="37"/>
      <x:c r="F5" s="37"/>
      <x:c r="G5" s="37"/>
      <x:c r="H5" s="37"/>
      <x:c r="I5" s="37"/>
      <x:c r="J5" s="37"/>
      <x:c r="K5" s="37"/>
      <x:c r="L5" s="37"/>
    </x:row>
    <x:row r="6" ht="15" hidden="0" customHeight="1">
      <x:c r="A6" s="32" t="str">
        <x:v>ID</x:v>
      </x:c>
      <x:c r="B6" s="32" t="str">
        <x:v>채널</x:v>
      </x:c>
      <x:c r="C6" s="32" t="str">
        <x:v>기간</x:v>
      </x:c>
      <x:c r="D6" s="32" t="str">
        <x:v>건수</x:v>
      </x:c>
      <x:c r="E6" s="32" t="str">
        <x:v>공급가액</x:v>
      </x:c>
      <x:c r="F6" s="32" t="str">
        <x:v>세액</x:v>
      </x:c>
      <x:c r="G6" s="32" t="str">
        <x:v>비과세</x:v>
      </x:c>
      <x:c r="H6" s="32" t="str">
        <x:v>합계</x:v>
      </x:c>
      <x:c r="I6" s="32" t="str">
        <x:v>공제</x:v>
      </x:c>
      <x:c r="J6" s="32" t="str">
        <x:v>상태</x:v>
      </x:c>
      <x:c r="K6" s="32" t="str">
        <x:v>근거</x:v>
      </x:c>
      <x:c r="L6" s="32" t="str">
        <x:v>메모</x:v>
      </x:c>
    </x:row>
    <x:row r="7" ht="15" hidden="0" customHeight="1">
      <x:c r="A7" s="41" t="str">
        <x:v>card-2026-q1</x:v>
      </x:c>
      <x:c r="B7" s="41" t="str">
        <x:v>사업용 신용카드</x:v>
      </x:c>
      <x:c r="C7" s="41" t="str">
        <x:v>2026-01-01~03-31</x:v>
      </x:c>
      <x:c r="D7" s="62" t="n">
        <x:v>8</x:v>
      </x:c>
      <x:c r="E7" s="42" t="n">
        <x:v>69429</x:v>
      </x:c>
      <x:c r="F7" s="42" t="n">
        <x:v>6941</x:v>
      </x:c>
      <x:c r="G7" s="42" t="n">
        <x:v>0</x:v>
      </x:c>
      <x:c r="H7" s="42" t="n">
        <x:v>76370</x:v>
      </x:c>
      <x:c r="I7" s="41" t="n">
        <x:v>1</x:v>
      </x:c>
      <x:c r="J7" s="41" t="str">
        <x:v>모두 공제</x:v>
      </x:c>
      <x:c r="K7" s="41" t="str">
        <x:v>홈택스 공제금액 조회</x:v>
      </x:c>
      <x:c r="L7" s="41" t="str"/>
    </x:row>
    <x:row r="8" ht="15" hidden="0" customHeight="1">
      <x:c r="A8" s="41" t="str">
        <x:v>card-2026-q2</x:v>
      </x:c>
      <x:c r="B8" s="41" t="str">
        <x:v>사업용 신용카드</x:v>
      </x:c>
      <x:c r="C8" s="41" t="str">
        <x:v>2026-04-01~06-30</x:v>
      </x:c>
      <x:c r="D8" s="62" t="n">
        <x:v>10</x:v>
      </x:c>
      <x:c r="E8" s="42" t="n">
        <x:v>198477</x:v>
      </x:c>
      <x:c r="F8" s="42" t="n">
        <x:v>19845</x:v>
      </x:c>
      <x:c r="G8" s="42" t="n">
        <x:v>0</x:v>
      </x:c>
      <x:c r="H8" s="42" t="n">
        <x:v>218322</x:v>
      </x:c>
      <x:c r="I8" s="41" t="n">
        <x:v>1</x:v>
      </x:c>
      <x:c r="J8" s="41" t="str">
        <x:v>모두 공제</x:v>
      </x:c>
      <x:c r="K8" s="41" t="str">
        <x:v>홈택스 공제금액 조회</x:v>
      </x:c>
      <x:c r="L8" s="41" t="str"/>
    </x:row>
    <x:row r="9" ht="15" hidden="0" customHeight="1">
      <x:c r="A9" s="41" t="str">
        <x:v>invoice-2026-h1</x:v>
      </x:c>
      <x:c r="B9" s="41" t="str">
        <x:v>전자세금계산서</x:v>
      </x:c>
      <x:c r="C9" s="41" t="str">
        <x:v>2026-01-01~06-30</x:v>
      </x:c>
      <x:c r="D9" s="62" t="n">
        <x:v>0</x:v>
      </x:c>
      <x:c r="E9" s="42" t="n">
        <x:v>0</x:v>
      </x:c>
      <x:c r="F9" s="42" t="n">
        <x:v>0</x:v>
      </x:c>
      <x:c r="G9" s="42" t="n">
        <x:v>0</x:v>
      </x:c>
      <x:c r="H9" s="42" t="n">
        <x:v>0</x:v>
      </x:c>
      <x:c r="I9" s="41" t="n">
        <x:v>1</x:v>
      </x:c>
      <x:c r="J9" s="41" t="str">
        <x:v>거래 없음</x:v>
      </x:c>
      <x:c r="K9" s="41" t="str">
        <x:v>사용자 확인</x:v>
      </x:c>
      <x:c r="L9" s="41" t="str"/>
    </x:row>
    <x:row r="10" ht="15" hidden="0" customHeight="1">
      <x:c r="A10" s="41" t="str">
        <x:v>cash-receipt-2026-h1</x:v>
      </x:c>
      <x:c r="B10" s="41" t="str">
        <x:v>지출증빙 현금영수증</x:v>
      </x:c>
      <x:c r="C10" s="41" t="str">
        <x:v>2026-01-01~06-30</x:v>
      </x:c>
      <x:c r="D10" s="62" t="n">
        <x:v>0</x:v>
      </x:c>
      <x:c r="E10" s="42" t="n">
        <x:v>0</x:v>
      </x:c>
      <x:c r="F10" s="42" t="n">
        <x:v>0</x:v>
      </x:c>
      <x:c r="G10" s="42" t="n">
        <x:v>0</x:v>
      </x:c>
      <x:c r="H10" s="42" t="n">
        <x:v>0</x:v>
      </x:c>
      <x:c r="I10" s="41" t="n">
        <x:v>1</x:v>
      </x:c>
      <x:c r="J10" s="41" t="str">
        <x:v>거래 없음</x:v>
      </x:c>
      <x:c r="K10" s="41" t="str">
        <x:v>사용자 확인</x:v>
      </x:c>
      <x:c r="L10" s="41" t="str"/>
    </x:row>
    <x:row r="11" ht="15" hidden="0" customHeight="1">
      <x:c r="A11" s="37"/>
      <x:c r="B11" s="37"/>
      <x:c r="C11" s="37"/>
      <x:c r="D11" s="37"/>
      <x:c r="E11" s="37"/>
      <x:c r="F11" s="37"/>
      <x:c r="G11" s="37"/>
      <x:c r="H11" s="37"/>
      <x:c r="I11" s="37"/>
      <x:c r="J11" s="37"/>
      <x:c r="K11" s="37"/>
      <x:c r="L11" s="37"/>
    </x:row>
    <x:row r="12" ht="15" hidden="0" customHeight="1">
      <x:c r="A12" s="83" t="str">
        <x:v>공제대상 합계</x:v>
      </x:c>
      <x:c r="B12" s="83" t="str">
        <x:v>공제대상 합계</x:v>
      </x:c>
      <x:c r="C12" s="83" t="str">
        <x:v>공제대상 합계</x:v>
      </x:c>
      <x:c r="D12" s="84" t="n">
        <x:f>SUMIFS(D7:D10,I7:I10,1)</x:f>
        <x:v>18</x:v>
      </x:c>
      <x:c r="E12" s="85" t="n">
        <x:f>SUMIFS(E7:E10,I7:I10,1)</x:f>
        <x:v>267906</x:v>
      </x:c>
      <x:c r="F12" s="85" t="n">
        <x:f>SUMIFS(F7:F10,I7:I10,1)</x:f>
        <x:v>26786</x:v>
      </x:c>
      <x:c r="G12" s="85" t="n">
        <x:f>SUMIFS(G7:G10,I7:I10,1)</x:f>
        <x:v>0</x:v>
      </x:c>
      <x:c r="H12" s="85" t="n">
        <x:f>SUMIFS(H7:H10,I7:I10,1)</x:f>
        <x:v>294692</x:v>
      </x:c>
      <x:c r="I12" s="83" t="str">
        <x:v>홈택스 최종 공제상태 대조</x:v>
      </x:c>
      <x:c r="J12" s="83" t="str">
        <x:v>홈택스 최종 공제상태 대조</x:v>
      </x:c>
      <x:c r="K12" s="83" t="str">
        <x:v>홈택스 최종 공제상태 대조</x:v>
      </x:c>
      <x:c r="L12" s="83" t="str">
        <x:v>홈택스 최종 공제상태 대조</x:v>
      </x:c>
    </x:row>
  </x:sheetData>
  <x:mergeCells>
    <x:mergeCell ref="A1:L2"/>
    <x:mergeCell ref="A4:L4"/>
    <x:mergeCell ref="A12:C12"/>
    <x:mergeCell ref="I12:L1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0" hidden="0" customWidth="1"/>
    <x:col min="3" max="3" width="12" hidden="0" customWidth="1"/>
    <x:col min="4" max="4" width="14" hidden="0" customWidth="1"/>
    <x:col min="5" max="5" width="19" hidden="0" customWidth="1"/>
    <x:col min="6" max="6" width="50" hidden="0" customWidth="1"/>
    <x:col min="7" max="7" width="22" hidden="0" customWidth="1"/>
  </x:cols>
  <x:sheetData>
    <x:row r="1" ht="30" customHeight="1">
      <x:c r="A1" s="36" t="str">
        <x:v>2026년 제1기 확정 적용 환율</x:v>
      </x:c>
      <x:c r="B1" s="36" t="str">
        <x:v>2026년 제1기 확정 적용 환율</x:v>
      </x:c>
      <x:c r="C1" s="36" t="str">
        <x:v>2026년 제1기 확정 적용 환율</x:v>
      </x:c>
      <x:c r="D1" s="36" t="str">
        <x:v>2026년 제1기 확정 적용 환율</x:v>
      </x:c>
      <x:c r="E1" s="36" t="str">
        <x:v>2026년 제1기 확정 적용 환율</x:v>
      </x:c>
      <x:c r="F1" s="36" t="str">
        <x:v>2026년 제1기 확정 적용 환율</x:v>
      </x:c>
      <x:c r="G1" s="36" t="str">
        <x:v>2026년 제1기 확정 적용 환율</x:v>
      </x:c>
    </x:row>
    <x:row r="2" ht="30" customHeight="1">
      <x:c r="A2" s="36" t="str">
        <x:v>2026년 제1기 확정 적용 환율</x:v>
      </x:c>
      <x:c r="B2" s="36" t="str">
        <x:v>2026년 제1기 확정 적용 환율</x:v>
      </x:c>
      <x:c r="C2" s="36" t="str">
        <x:v>2026년 제1기 확정 적용 환율</x:v>
      </x:c>
      <x:c r="D2" s="36" t="str">
        <x:v>2026년 제1기 확정 적용 환율</x:v>
      </x:c>
      <x:c r="E2" s="36" t="str">
        <x:v>2026년 제1기 확정 적용 환율</x:v>
      </x:c>
      <x:c r="F2" s="36" t="str">
        <x:v>2026년 제1기 확정 적용 환율</x:v>
      </x:c>
      <x:c r="G2" s="36" t="str">
        <x:v>2026년 제1기 확정 적용 환율</x:v>
      </x:c>
    </x:row>
    <x:row r="3" ht="15" hidden="0" customHeight="1">
      <x:c r="A3" s="57" t="str">
        <x:v>외화매출의 공급일·통화와 정확히 일치하는 환율만 사용합니다. JPY·VND 등 100통화 단위 여부를 반드시 확인하세요.</x:v>
      </x:c>
      <x:c r="B3" s="58" t="str">
        <x:v>외화매출의 공급일·통화와 정확히 일치하는 환율만 사용합니다. JPY·VND 등 100통화 단위 여부를 반드시 확인하세요.</x:v>
      </x:c>
      <x:c r="C3" s="58" t="str">
        <x:v>외화매출의 공급일·통화와 정확히 일치하는 환율만 사용합니다. JPY·VND 등 100통화 단위 여부를 반드시 확인하세요.</x:v>
      </x:c>
      <x:c r="D3" s="58" t="str">
        <x:v>외화매출의 공급일·통화와 정확히 일치하는 환율만 사용합니다. JPY·VND 등 100통화 단위 여부를 반드시 확인하세요.</x:v>
      </x:c>
      <x:c r="E3" s="58" t="str">
        <x:v>외화매출의 공급일·통화와 정확히 일치하는 환율만 사용합니다. JPY·VND 등 100통화 단위 여부를 반드시 확인하세요.</x:v>
      </x:c>
      <x:c r="F3" s="58" t="str">
        <x:v>외화매출의 공급일·통화와 정확히 일치하는 환율만 사용합니다. JPY·VND 등 100통화 단위 여부를 반드시 확인하세요.</x:v>
      </x:c>
      <x:c r="G3" s="59" t="str">
        <x:v>외화매출의 공급일·통화와 정확히 일치하는 환율만 사용합니다. JPY·VND 등 100통화 단위 여부를 반드시 확인하세요.</x:v>
      </x:c>
    </x:row>
    <x:row r="4" ht="15" hidden="0" customHeight="1">
      <x:c r="A4" s="32" t="str">
        <x:v>적용일</x:v>
      </x:c>
      <x:c r="B4" s="32" t="str">
        <x:v>통화</x:v>
      </x:c>
      <x:c r="C4" s="32" t="str">
        <x:v>환율단위</x:v>
      </x:c>
      <x:c r="D4" s="32" t="str">
        <x:v>기준환율</x:v>
      </x:c>
      <x:c r="E4" s="32" t="str">
        <x:v>출처</x:v>
      </x:c>
      <x:c r="F4" s="32" t="str">
        <x:v>URL</x:v>
      </x:c>
      <x:c r="G4" s="32" t="str">
        <x:v>비고</x:v>
      </x:c>
    </x:row>
    <x:row r="5" ht="15" hidden="0" customHeight="1">
      <x:c r="A5" s="47" t="n">
        <x:v>46053</x:v>
      </x:c>
      <x:c r="B5" s="41" t="str">
        <x:v>CAD</x:v>
      </x:c>
      <x:c r="C5" s="62" t="n">
        <x:v>1</x:v>
      </x:c>
      <x:c r="D5" s="63" t="n">
        <x:v>1057.94</x:v>
      </x:c>
      <x:c r="E5" s="41" t="str">
        <x:v>서울외국환중개</x:v>
      </x:c>
      <x:c r="F5" s="41" t="str">
        <x:v>https://www.smbs.co.kr/Eng/ExRate/MonLastStdExRate.jsp</x:v>
      </x:c>
      <x:c r="G5" s="41" t="str">
        <x:v>월말 매매기준율</x:v>
      </x:c>
    </x:row>
    <x:row r="6" ht="15" hidden="0" customHeight="1">
      <x:c r="A6" s="47" t="n">
        <x:v>46053</x:v>
      </x:c>
      <x:c r="B6" s="41" t="str">
        <x:v>GBP</x:v>
      </x:c>
      <x:c r="C6" s="62" t="n">
        <x:v>1</x:v>
      </x:c>
      <x:c r="D6" s="63" t="n">
        <x:v>1970.62</x:v>
      </x:c>
      <x:c r="E6" s="41" t="str">
        <x:v>서울외국환중개</x:v>
      </x:c>
      <x:c r="F6" s="41" t="str">
        <x:v>https://www.smbs.co.kr/Eng/ExRate/MonLastStdExRate.jsp</x:v>
      </x:c>
      <x:c r="G6" s="41" t="str">
        <x:v>월말 매매기준율</x:v>
      </x:c>
    </x:row>
    <x:row r="7" ht="15" hidden="0" customHeight="1">
      <x:c r="A7" s="47" t="n">
        <x:v>46053</x:v>
      </x:c>
      <x:c r="B7" s="41" t="str">
        <x:v>JPY</x:v>
      </x:c>
      <x:c r="C7" s="62" t="n">
        <x:v>100</x:v>
      </x:c>
      <x:c r="D7" s="63" t="n">
        <x:v>932.89</x:v>
      </x:c>
      <x:c r="E7" s="41" t="str">
        <x:v>서울외국환중개</x:v>
      </x:c>
      <x:c r="F7" s="41" t="str">
        <x:v>https://www.smbs.co.kr/Eng/ExRate/MonLastStdExRate.jsp</x:v>
      </x:c>
      <x:c r="G7" s="41" t="str">
        <x:v>월말 매매기준율</x:v>
      </x:c>
    </x:row>
    <x:row r="8" ht="26.399999618530273" hidden="0" customHeight="1">
      <x:c r="A8" s="47" t="n">
        <x:v>46053</x:v>
      </x:c>
      <x:c r="B8" s="41" t="str">
        <x:v>KRW</x:v>
      </x:c>
      <x:c r="C8" s="62" t="n">
        <x:v>1</x:v>
      </x:c>
      <x:c r="D8" s="63" t="n">
        <x:v>1</x:v>
      </x:c>
      <x:c r="E8" s="41" t="str">
        <x:v>Play Console 원화 보고서</x:v>
      </x:c>
      <x:c r="F8" s="41" t="str">
        <x:v>내부 원화 보고서</x:v>
      </x:c>
      <x:c r="G8" s="41" t="str">
        <x:v>이미 KRW로 표시</x:v>
      </x:c>
    </x:row>
    <x:row r="9" ht="15" hidden="0" customHeight="1">
      <x:c r="A9" s="47" t="n">
        <x:v>46053</x:v>
      </x:c>
      <x:c r="B9" s="41" t="str">
        <x:v>USD</x:v>
      </x:c>
      <x:c r="C9" s="62" t="n">
        <x:v>1</x:v>
      </x:c>
      <x:c r="D9" s="63" t="n">
        <x:v>1427</x:v>
      </x:c>
      <x:c r="E9" s="41" t="str">
        <x:v>서울외국환중개</x:v>
      </x:c>
      <x:c r="F9" s="41" t="str">
        <x:v>https://www.smbs.co.kr/Eng/ExRate/MonLastStdExRate.jsp</x:v>
      </x:c>
      <x:c r="G9" s="41" t="str">
        <x:v>월말 매매기준율</x:v>
      </x:c>
    </x:row>
    <x:row r="10" ht="26.399999618530273" hidden="0" customHeight="1">
      <x:c r="A10" s="47" t="n">
        <x:v>46081</x:v>
      </x:c>
      <x:c r="B10" s="41" t="str">
        <x:v>KRW</x:v>
      </x:c>
      <x:c r="C10" s="62" t="n">
        <x:v>1</x:v>
      </x:c>
      <x:c r="D10" s="63" t="n">
        <x:v>1</x:v>
      </x:c>
      <x:c r="E10" s="41" t="str">
        <x:v>Play Console 원화 보고서</x:v>
      </x:c>
      <x:c r="F10" s="41" t="str">
        <x:v>내부 원화 보고서</x:v>
      </x:c>
      <x:c r="G10" s="41" t="str">
        <x:v>이미 KRW로 표시</x:v>
      </x:c>
    </x:row>
    <x:row r="11" ht="15" hidden="0" customHeight="1">
      <x:c r="A11" s="47" t="n">
        <x:v>46081</x:v>
      </x:c>
      <x:c r="B11" s="41" t="str">
        <x:v>THB</x:v>
      </x:c>
      <x:c r="C11" s="62" t="n">
        <x:v>1</x:v>
      </x:c>
      <x:c r="D11" s="63" t="n">
        <x:v>45.8</x:v>
      </x:c>
      <x:c r="E11" s="41" t="str">
        <x:v>서울외국환중개</x:v>
      </x:c>
      <x:c r="F11" s="41" t="str">
        <x:v>https://www.smbs.co.kr/Eng/ExRate/MonLastStdExRate.jsp</x:v>
      </x:c>
      <x:c r="G11" s="41" t="str">
        <x:v>월말 매매기준율</x:v>
      </x:c>
    </x:row>
    <x:row r="12" ht="15" hidden="0" customHeight="1">
      <x:c r="A12" s="47" t="n">
        <x:v>46081</x:v>
      </x:c>
      <x:c r="B12" s="41" t="str">
        <x:v>TWD</x:v>
      </x:c>
      <x:c r="C12" s="62" t="n">
        <x:v>1</x:v>
      </x:c>
      <x:c r="D12" s="63" t="n">
        <x:v>45.57</x:v>
      </x:c>
      <x:c r="E12" s="41" t="str">
        <x:v>서울외국환중개</x:v>
      </x:c>
      <x:c r="F12" s="41" t="str">
        <x:v>https://www.smbs.co.kr/Eng/ExRate/MonLastStdExRate.jsp</x:v>
      </x:c>
      <x:c r="G12" s="41" t="str">
        <x:v>월말 매매기준율</x:v>
      </x:c>
    </x:row>
    <x:row r="13" ht="15" hidden="0" customHeight="1">
      <x:c r="A13" s="47" t="n">
        <x:v>46081</x:v>
      </x:c>
      <x:c r="B13" s="41" t="str">
        <x:v>USD</x:v>
      </x:c>
      <x:c r="C13" s="62" t="n">
        <x:v>1</x:v>
      </x:c>
      <x:c r="D13" s="63" t="n">
        <x:v>1424.5</x:v>
      </x:c>
      <x:c r="E13" s="41" t="str">
        <x:v>서울외국환중개</x:v>
      </x:c>
      <x:c r="F13" s="41" t="str">
        <x:v>https://www.smbs.co.kr/Eng/ExRate/MonLastStdExRate.jsp</x:v>
      </x:c>
      <x:c r="G13" s="41" t="str">
        <x:v>월말 매매기준율</x:v>
      </x:c>
    </x:row>
    <x:row r="14" ht="15" hidden="0" customHeight="1">
      <x:c r="A14" s="47" t="n">
        <x:v>46112</x:v>
      </x:c>
      <x:c r="B14" s="41" t="str">
        <x:v>USD</x:v>
      </x:c>
      <x:c r="C14" s="62" t="n">
        <x:v>1</x:v>
      </x:c>
      <x:c r="D14" s="63" t="n">
        <x:v>1513.4</x:v>
      </x:c>
      <x:c r="E14" s="41" t="str">
        <x:v>서울외국환중개</x:v>
      </x:c>
      <x:c r="F14" s="41" t="str">
        <x:v>https://www.smbs.co.kr/Eng/ExRate/MonLastStdExRate.jsp</x:v>
      </x:c>
      <x:c r="G14" s="41" t="str">
        <x:v>월말 매매기준율</x:v>
      </x:c>
    </x:row>
    <x:row r="15" ht="15" hidden="0" customHeight="1">
      <x:c r="A15" s="47" t="n">
        <x:v>46112</x:v>
      </x:c>
      <x:c r="B15" s="41" t="str">
        <x:v>VND</x:v>
      </x:c>
      <x:c r="C15" s="62" t="n">
        <x:v>100</x:v>
      </x:c>
      <x:c r="D15" s="63" t="n">
        <x:v>5.74</x:v>
      </x:c>
      <x:c r="E15" s="41" t="str">
        <x:v>서울외국환중개</x:v>
      </x:c>
      <x:c r="F15" s="41" t="str">
        <x:v>https://www.smbs.co.kr/Eng/ExRate/MonLastStdExRate.jsp</x:v>
      </x:c>
      <x:c r="G15" s="41" t="str">
        <x:v>월말 매매기준율</x:v>
      </x:c>
    </x:row>
    <x:row r="16" ht="15" hidden="0" customHeight="1">
      <x:c r="A16" s="47" t="n">
        <x:v>46142</x:v>
      </x:c>
      <x:c r="B16" s="41" t="str">
        <x:v>USD</x:v>
      </x:c>
      <x:c r="C16" s="62" t="n">
        <x:v>1</x:v>
      </x:c>
      <x:c r="D16" s="63" t="n">
        <x:v>1476.1</x:v>
      </x:c>
      <x:c r="E16" s="41" t="str">
        <x:v>서울외국환중개</x:v>
      </x:c>
      <x:c r="F16" s="41" t="str">
        <x:v>https://www.smbs.co.kr/Eng/ExRate/MonLastStdExRate.jsp</x:v>
      </x:c>
      <x:c r="G16" s="41" t="str">
        <x:v>월말 매매기준율</x:v>
      </x:c>
    </x:row>
    <x:row r="17" ht="15" hidden="0" customHeight="1">
      <x:c r="A17" s="47" t="n">
        <x:v>46173</x:v>
      </x:c>
      <x:c r="B17" s="41" t="str">
        <x:v>USD</x:v>
      </x:c>
      <x:c r="C17" s="62" t="n">
        <x:v>1</x:v>
      </x:c>
      <x:c r="D17" s="63" t="n">
        <x:v>1505.8</x:v>
      </x:c>
      <x:c r="E17" s="41" t="str">
        <x:v>서울외국환중개</x:v>
      </x:c>
      <x:c r="F17" s="41" t="str">
        <x:v>https://www.smbs.co.kr/Eng/ExRate/MonLastStdExRate.jsp</x:v>
      </x:c>
      <x:c r="G17" s="41" t="str">
        <x:v>월말 매매기준율</x:v>
      </x:c>
    </x:row>
    <x:row r="18" ht="15" hidden="0" customHeight="1">
      <x:c r="A18" s="47" t="n">
        <x:v>46203</x:v>
      </x:c>
      <x:c r="B18" s="41" t="str">
        <x:v>USD</x:v>
      </x:c>
      <x:c r="C18" s="62" t="n">
        <x:v>1</x:v>
      </x:c>
      <x:c r="D18" s="63" t="n">
        <x:v>1541.5</x:v>
      </x:c>
      <x:c r="E18" s="41" t="str">
        <x:v>서울외국환중개</x:v>
      </x:c>
      <x:c r="F18" s="41" t="str">
        <x:v>https://www.smbs.co.kr/Eng/ExRate/MonLastStdExRate.jsp</x:v>
      </x:c>
      <x:c r="G18" s="41" t="str">
        <x:v>월말 매매기준율</x:v>
      </x:c>
    </x:row>
  </x:sheetData>
  <x:mergeCells>
    <x:mergeCell ref="A1:G2"/>
    <x:mergeCell ref="A3:G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45" hidden="0" customWidth="1"/>
    <x:col min="3" max="3" width="24" hidden="0" customWidth="1"/>
    <x:col min="4" max="4" width="34" hidden="0" customWidth="1"/>
    <x:col min="5" max="5" width="18" hidden="0" customWidth="1"/>
    <x:col min="6" max="6" width="18" hidden="0" customWidth="1"/>
  </x:cols>
  <x:sheetData>
    <x:row r="1" ht="30" customHeight="1">
      <x:c r="A1" s="36" t="str">
        <x:v>2026년 제1기 확정 신고 근거와 체크</x:v>
      </x:c>
      <x:c r="B1" s="36" t="str">
        <x:v>2026년 제1기 확정 신고 근거와 체크</x:v>
      </x:c>
      <x:c r="C1" s="36" t="str">
        <x:v>2026년 제1기 확정 신고 근거와 체크</x:v>
      </x:c>
      <x:c r="D1" s="36" t="str">
        <x:v>2026년 제1기 확정 신고 근거와 체크</x:v>
      </x:c>
      <x:c r="E1" s="36" t="str">
        <x:v>2026년 제1기 확정 신고 근거와 체크</x:v>
      </x:c>
      <x:c r="F1" s="36" t="str">
        <x:v>2026년 제1기 확정 신고 근거와 체크</x:v>
      </x:c>
    </x:row>
    <x:row r="2" ht="30" customHeight="1">
      <x:c r="A2" s="36" t="str">
        <x:v>2026년 제1기 확정 신고 근거와 체크</x:v>
      </x:c>
      <x:c r="B2" s="36" t="str">
        <x:v>2026년 제1기 확정 신고 근거와 체크</x:v>
      </x:c>
      <x:c r="C2" s="36" t="str">
        <x:v>2026년 제1기 확정 신고 근거와 체크</x:v>
      </x:c>
      <x:c r="D2" s="36" t="str">
        <x:v>2026년 제1기 확정 신고 근거와 체크</x:v>
      </x:c>
      <x:c r="E2" s="36" t="str">
        <x:v>2026년 제1기 확정 신고 근거와 체크</x:v>
      </x:c>
      <x:c r="F2" s="36" t="str">
        <x:v>2026년 제1기 확정 신고 근거와 체크</x:v>
      </x:c>
    </x:row>
    <x:row r="3" ht="15" hidden="0" customHeight="1">
      <x:c r="A3" s="37"/>
      <x:c r="B3" s="37"/>
      <x:c r="C3" s="37"/>
      <x:c r="D3" s="37"/>
      <x:c r="E3" s="37"/>
      <x:c r="F3" s="37"/>
    </x:row>
    <x:row r="4" ht="15" hidden="0" customHeight="1">
      <x:c r="A4" s="12" t="str">
        <x:v>노란색 행은 보수적 판단 또는 재검토 항목입니다. 공식 출처의 확인일이 오래됐으면 신고 전에 다시 검증하세요.</x:v>
      </x:c>
      <x:c r="B4" s="13" t="str">
        <x:v>노란색 행은 보수적 판단 또는 재검토 항목입니다. 공식 출처의 확인일이 오래됐으면 신고 전에 다시 검증하세요.</x:v>
      </x:c>
      <x:c r="C4" s="13" t="str">
        <x:v>노란색 행은 보수적 판단 또는 재검토 항목입니다. 공식 출처의 확인일이 오래됐으면 신고 전에 다시 검증하세요.</x:v>
      </x:c>
      <x:c r="D4" s="13" t="str">
        <x:v>노란색 행은 보수적 판단 또는 재검토 항목입니다. 공식 출처의 확인일이 오래됐으면 신고 전에 다시 검증하세요.</x:v>
      </x:c>
      <x:c r="E4" s="13" t="str">
        <x:v>노란색 행은 보수적 판단 또는 재검토 항목입니다. 공식 출처의 확인일이 오래됐으면 신고 전에 다시 검증하세요.</x:v>
      </x:c>
      <x:c r="F4" s="14" t="str">
        <x:v>노란색 행은 보수적 판단 또는 재검토 항목입니다. 공식 출처의 확인일이 오래됐으면 신고 전에 다시 검증하세요.</x:v>
      </x:c>
    </x:row>
    <x:row r="5" ht="15" hidden="0" customHeight="1">
      <x:c r="A5" s="37"/>
      <x:c r="B5" s="37"/>
      <x:c r="C5" s="37"/>
      <x:c r="D5" s="37"/>
      <x:c r="E5" s="37"/>
      <x:c r="F5" s="37"/>
    </x:row>
    <x:row r="6" ht="15" hidden="0" customHeight="1">
      <x:c r="A6" s="38" t="str">
        <x:v>계산 정책</x:v>
      </x:c>
      <x:c r="B6" s="38" t="str">
        <x:v>계산 정책</x:v>
      </x:c>
      <x:c r="C6" s="38" t="str">
        <x:v>계산 정책</x:v>
      </x:c>
      <x:c r="D6" s="38" t="str">
        <x:v>계산 정책</x:v>
      </x:c>
      <x:c r="E6" s="38" t="str">
        <x:v>계산 정책</x:v>
      </x:c>
      <x:c r="F6" s="38" t="str">
        <x:v>계산 정책</x:v>
      </x:c>
    </x:row>
    <x:row r="7" ht="15" hidden="0" customHeight="1">
      <x:c r="A7" s="39" t="str">
        <x:v>부가가치세율</x:v>
      </x:c>
      <x:c r="B7" s="40" t="n">
        <x:v>0.1</x:v>
      </x:c>
      <x:c r="C7" s="41" t="str">
        <x:v>신고기간 현재 법령 확인</x:v>
      </x:c>
      <x:c r="D7" s="37"/>
      <x:c r="E7" s="37"/>
      <x:c r="F7" s="37"/>
    </x:row>
    <x:row r="8" ht="15" hidden="0" customHeight="1">
      <x:c r="A8" s="39" t="str">
        <x:v>전자신고 세액공제</x:v>
      </x:c>
      <x:c r="B8" s="42" t="n">
        <x:v>5000</x:v>
      </x:c>
      <x:c r="C8" s="41" t="str">
        <x:v>현재 법령 확인값</x:v>
      </x:c>
      <x:c r="D8" s="37"/>
      <x:c r="E8" s="37"/>
      <x:c r="F8" s="37"/>
    </x:row>
    <x:row r="9" ht="15" hidden="0" customHeight="1">
      <x:c r="A9" s="43" t="str">
        <x:v>신용카드 발행세액공제</x:v>
      </x:c>
      <x:c r="B9" s="44" t="n">
        <x:v>0</x:v>
      </x:c>
      <x:c r="C9" s="45" t="str">
        <x:v>업종 적격성 확인값</x:v>
      </x:c>
      <x:c r="D9" s="37"/>
      <x:c r="E9" s="37"/>
      <x:c r="F9" s="37"/>
    </x:row>
    <x:row r="10" ht="15" hidden="0" customHeight="1">
      <x:c r="A10" s="39" t="str">
        <x:v>외화 공급시기</x:v>
      </x:c>
      <x:c r="B10" s="41" t="str">
        <x:v>플랫폼 월별 확정 보고서의 End Date를 공급시기로 사용</x:v>
      </x:c>
      <x:c r="C10" s="41" t="str">
        <x:v>실제 입금일과 분리</x:v>
      </x:c>
      <x:c r="D10" s="37"/>
      <x:c r="E10" s="37"/>
      <x:c r="F10" s="37"/>
    </x:row>
    <x:row r="11" ht="26.399999618530273" hidden="0" customHeight="1">
      <x:c r="A11" s="39" t="str">
        <x:v>카드 공제 판단</x:v>
      </x:c>
      <x:c r="B11" s="41" t="str">
        <x:v>소프트웨어·정보서비스업 적격성 확인 전 보수적으로 미적용</x:v>
      </x:c>
      <x:c r="C11" s="41" t="str">
        <x:v>불명확하면 0원</x:v>
      </x:c>
      <x:c r="D11" s="37"/>
      <x:c r="E11" s="37"/>
      <x:c r="F11" s="37"/>
    </x:row>
    <x:row r="12" ht="26.399999618530273" hidden="0" customHeight="1">
      <x:c r="A12" s="39" t="str">
        <x:v>과세표준 계산방법</x:v>
      </x:c>
      <x:c r="B12" s="41" t="str">
        <x:v>gross_divide_1_1_floor</x:v>
      </x:c>
      <x:c r="C12" s="41" t="str">
        <x:v>총결제액에서 공급가액·세액 산출</x:v>
      </x:c>
      <x:c r="D12" s="37"/>
      <x:c r="E12" s="37"/>
      <x:c r="F12" s="37"/>
    </x:row>
    <x:row r="13" ht="15" hidden="0" customHeight="1">
      <x:c r="A13" s="37"/>
      <x:c r="B13" s="37"/>
      <x:c r="C13" s="37"/>
      <x:c r="D13" s="37"/>
      <x:c r="E13" s="37"/>
      <x:c r="F13" s="37"/>
    </x:row>
    <x:row r="14" ht="15" hidden="0" customHeight="1">
      <x:c r="A14" s="37"/>
      <x:c r="B14" s="37"/>
      <x:c r="C14" s="37"/>
      <x:c r="D14" s="37"/>
      <x:c r="E14" s="37"/>
      <x:c r="F14" s="37"/>
    </x:row>
    <x:row r="15" ht="15" hidden="0" customHeight="1">
      <x:c r="A15" s="38" t="str">
        <x:v>증빙 체크리스트</x:v>
      </x:c>
      <x:c r="B15" s="38" t="str">
        <x:v>증빙 체크리스트</x:v>
      </x:c>
      <x:c r="C15" s="38" t="str">
        <x:v>증빙 체크리스트</x:v>
      </x:c>
      <x:c r="D15" s="38" t="str">
        <x:v>증빙 체크리스트</x:v>
      </x:c>
      <x:c r="E15" s="38" t="str">
        <x:v>증빙 체크리스트</x:v>
      </x:c>
      <x:c r="F15" s="38" t="str">
        <x:v>증빙 체크리스트</x:v>
      </x:c>
    </x:row>
    <x:row r="16" ht="15" hidden="0" customHeight="1">
      <x:c r="A16" s="32" t="str">
        <x:v>구분</x:v>
      </x:c>
      <x:c r="B16" s="32" t="str">
        <x:v>근거</x:v>
      </x:c>
      <x:c r="C16" s="32" t="str">
        <x:v>상태</x:v>
      </x:c>
      <x:c r="D16" s="32" t="str">
        <x:v>다음 행동</x:v>
      </x:c>
      <x:c r="E16" s="37"/>
      <x:c r="F16" s="37"/>
    </x:row>
    <x:row r="17" ht="15" hidden="0" customHeight="1">
      <x:c r="A17" s="41" t="str">
        <x:v>홈택스 매출</x:v>
      </x:c>
      <x:c r="B17" s="41" t="str">
        <x:v>판매(결제)대행 매출자료</x:v>
      </x:c>
      <x:c r="C17" s="41" t="str">
        <x:v>확보</x:v>
      </x:c>
      <x:c r="D17" s="41" t="str">
        <x:v>Apple 중복 처리 확인</x:v>
      </x:c>
      <x:c r="E17" s="37"/>
      <x:c r="F17" s="37"/>
    </x:row>
    <x:row r="18" ht="15" hidden="0" customHeight="1">
      <x:c r="A18" s="41" t="str">
        <x:v>Apple</x:v>
      </x:c>
      <x:c r="B18" s="41" t="str">
        <x:v>2026-01~06 Sales and Trends</x:v>
      </x:c>
      <x:c r="C18" s="41" t="str">
        <x:v>확보</x:v>
      </x:c>
      <x:c r="D18" s="41" t="str">
        <x:v>국가코드·환불 확인</x:v>
      </x:c>
      <x:c r="E18" s="37"/>
      <x:c r="F18" s="37"/>
    </x:row>
    <x:row r="19" ht="15" hidden="0" customHeight="1">
      <x:c r="A19" s="41" t="str">
        <x:v>Google</x:v>
      </x:c>
      <x:c r="B19" s="41" t="str">
        <x:v>2026-01~02 PlayApps 보고서</x:v>
      </x:c>
      <x:c r="C19" s="41" t="str">
        <x:v>확보</x:v>
      </x:c>
      <x:c r="D19" s="41" t="str">
        <x:v>3~6월 무매출 확인</x:v>
      </x:c>
      <x:c r="E19" s="37"/>
      <x:c r="F19" s="37"/>
    </x:row>
    <x:row r="20" ht="15" hidden="0" customHeight="1">
      <x:c r="A20" s="41" t="str">
        <x:v>AdMob</x:v>
      </x:c>
      <x:c r="B20" s="41" t="str">
        <x:v>2026-01~06 거래 CSV/반기 화면</x:v>
      </x:c>
      <x:c r="C20" s="41" t="str">
        <x:v>확보</x:v>
      </x:c>
      <x:c r="D20" s="41" t="str">
        <x:v>전기 조정 제외 확인</x:v>
      </x:c>
      <x:c r="E20" s="37"/>
      <x:c r="F20" s="37"/>
    </x:row>
    <x:row r="21" ht="15" hidden="0" customHeight="1">
      <x:c r="A21" s="41" t="str">
        <x:v>AppLovin 직접</x:v>
      </x:c>
      <x:c r="B21" s="41" t="str">
        <x:v>반기 거래 화면</x:v>
      </x:c>
      <x:c r="C21" s="41" t="str">
        <x:v>수익 0</x:v>
      </x:c>
      <x:c r="D21" s="41" t="str">
        <x:v>0원 증빙 보관</x:v>
      </x:c>
      <x:c r="E21" s="37"/>
      <x:c r="F21" s="37"/>
    </x:row>
    <x:row r="22" ht="15" hidden="0" customHeight="1">
      <x:c r="A22" s="41" t="str">
        <x:v>Meta</x:v>
      </x:c>
      <x:c r="B22" s="41" t="str">
        <x:v>2026-02~04 Statement 화면</x:v>
      </x:c>
      <x:c r="C22" s="41" t="str">
        <x:v>확보</x:v>
      </x:c>
      <x:c r="D22" s="41" t="str">
        <x:v>반기 합계 확인</x:v>
      </x:c>
      <x:c r="E22" s="37"/>
      <x:c r="F22" s="37"/>
    </x:row>
    <x:row r="23" ht="15" hidden="0" customHeight="1">
      <x:c r="A23" s="41" t="str">
        <x:v>매입</x:v>
      </x:c>
      <x:c r="B23" s="41" t="str">
        <x:v>사업용 신용카드 공제내역</x:v>
      </x:c>
      <x:c r="C23" s="41" t="str">
        <x:v>18건 공제</x:v>
      </x:c>
      <x:c r="D23" s="41" t="str">
        <x:v>최종 공제 화면 보관</x:v>
      </x:c>
      <x:c r="E23" s="37"/>
      <x:c r="F23" s="37"/>
    </x:row>
    <x:row r="24" ht="15" hidden="0" customHeight="1">
      <x:c r="A24" s="41" t="str">
        <x:v>신고 후</x:v>
      </x:c>
      <x:c r="B24" s="41" t="str">
        <x:v>접수증·신고서 PDF·납부서</x:v>
      </x:c>
      <x:c r="C24" s="41" t="str">
        <x:v>대기</x:v>
      </x:c>
      <x:c r="D24" s="41" t="str">
        <x:v>제출 후 저장</x:v>
      </x:c>
      <x:c r="E24" s="37"/>
      <x:c r="F24" s="37"/>
    </x:row>
    <x:row r="25" ht="15" hidden="0" customHeight="1">
      <x:c r="A25" s="37"/>
      <x:c r="B25" s="37"/>
      <x:c r="C25" s="37"/>
      <x:c r="D25" s="37"/>
      <x:c r="E25" s="37"/>
      <x:c r="F25" s="37"/>
    </x:row>
    <x:row r="26" ht="15" hidden="0" customHeight="1">
      <x:c r="A26" s="37"/>
      <x:c r="B26" s="37"/>
      <x:c r="C26" s="37"/>
      <x:c r="D26" s="37"/>
      <x:c r="E26" s="37"/>
      <x:c r="F26" s="37"/>
    </x:row>
    <x:row r="27" ht="15" hidden="0" customHeight="1">
      <x:c r="A27" s="38" t="str">
        <x:v>공식 출처</x:v>
      </x:c>
      <x:c r="B27" s="38" t="str">
        <x:v>공식 출처</x:v>
      </x:c>
      <x:c r="C27" s="38" t="str">
        <x:v>공식 출처</x:v>
      </x:c>
      <x:c r="D27" s="38" t="str">
        <x:v>공식 출처</x:v>
      </x:c>
      <x:c r="E27" s="38" t="str">
        <x:v>공식 출처</x:v>
      </x:c>
      <x:c r="F27" s="38" t="str">
        <x:v>공식 출처</x:v>
      </x:c>
    </x:row>
    <x:row r="28" ht="15" hidden="0" customHeight="1">
      <x:c r="A28" s="32" t="str">
        <x:v>항목</x:v>
      </x:c>
      <x:c r="B28" s="32" t="str">
        <x:v>URL</x:v>
      </x:c>
      <x:c r="C28" s="32" t="str">
        <x:v>확인일</x:v>
      </x:c>
      <x:c r="D28" s="37"/>
      <x:c r="E28" s="37"/>
      <x:c r="F28" s="37"/>
    </x:row>
    <x:row r="29" ht="39.599998474121094" hidden="0" customHeight="1">
      <x:c r="A29" s="41" t="str">
        <x:v>외화 환산 법령</x:v>
      </x:c>
      <x:c r="B29" s="46" t="str">
        <x:v>https://www.law.go.kr/LSW/lsSideInfoP.do?docCls=jo&amp;joBrNo=00&amp;joNo=0059&amp;lsiSeq=283641&amp;urlMode=lsScJoRltInfoR</x:v>
      </x:c>
      <x:c r="C29" s="47" t="n">
        <x:v>46224</x:v>
      </x:c>
      <x:c r="D29" s="37"/>
      <x:c r="E29" s="37"/>
      <x:c r="F29" s="37"/>
    </x:row>
    <x:row r="30" ht="15" hidden="0" customHeight="1">
      <x:c r="A30" s="41" t="str">
        <x:v>서울외국환중개 월말환율</x:v>
      </x:c>
      <x:c r="B30" s="46" t="str">
        <x:v>https://www.smbs.co.kr/Eng/ExRate/MonLastStdExRate.jsp</x:v>
      </x:c>
      <x:c r="C30" s="47" t="n">
        <x:v>46224</x:v>
      </x:c>
      <x:c r="D30" s="37"/>
      <x:c r="E30" s="37"/>
      <x:c r="F30" s="37"/>
    </x:row>
    <x:row r="31" ht="39.599998474121094" hidden="0" customHeight="1">
      <x:c r="A31" s="41" t="str">
        <x:v>전자신고 세액공제</x:v>
      </x:c>
      <x:c r="B31" s="46" t="str">
        <x:v>https://www.law.go.kr/LSW/lsSideInfoP.do?docCls=jo&amp;joBrNo=05&amp;joNo=0104&amp;lsiSeq=286209&amp;urlMode=lsScJoRltInfoR</x:v>
      </x:c>
      <x:c r="C31" s="47" t="n">
        <x:v>46224</x:v>
      </x:c>
      <x:c r="D31" s="37"/>
      <x:c r="E31" s="37"/>
      <x:c r="F31" s="37"/>
    </x:row>
    <x:row r="32" ht="15" hidden="0" customHeight="1">
      <x:c r="A32" s="37"/>
      <x:c r="B32" s="37"/>
      <x:c r="C32" s="37"/>
      <x:c r="D32" s="37"/>
      <x:c r="E32" s="37"/>
      <x:c r="F32" s="37"/>
    </x:row>
    <x:row r="33" ht="15" hidden="0" customHeight="1">
      <x:c r="A33" s="37"/>
      <x:c r="B33" s="37"/>
      <x:c r="C33" s="37"/>
      <x:c r="D33" s="37"/>
      <x:c r="E33" s="37"/>
      <x:c r="F33" s="37"/>
    </x:row>
    <x:row r="34" ht="15" hidden="0" customHeight="1">
      <x:c r="A34" s="38" t="str">
        <x:v>검증 경고</x:v>
      </x:c>
      <x:c r="B34" s="38" t="str">
        <x:v>검증 경고</x:v>
      </x:c>
      <x:c r="C34" s="38" t="str">
        <x:v>검증 경고</x:v>
      </x:c>
      <x:c r="D34" s="38" t="str">
        <x:v>검증 경고</x:v>
      </x:c>
      <x:c r="E34" s="38" t="str">
        <x:v>검증 경고</x:v>
      </x:c>
      <x:c r="F34" s="38" t="str">
        <x:v>검증 경고</x:v>
      </x:c>
    </x:row>
    <x:row r="35" ht="15" hidden="0" customHeight="1">
      <x:c r="A35" s="48" t="str">
        <x:v>감사 추적용 제외 외화행: admob-2026-01-prior-adjustment</x:v>
      </x:c>
      <x:c r="B35" s="48"/>
      <x:c r="C35" s="48"/>
      <x:c r="D35" s="48"/>
      <x:c r="E35" s="48"/>
      <x:c r="F35" s="48"/>
    </x:row>
  </x:sheetData>
  <x:mergeCells>
    <x:mergeCell ref="A1:F2"/>
    <x:mergeCell ref="A4:F4"/>
    <x:mergeCell ref="A6:F6"/>
    <x:mergeCell ref="A15:F15"/>
    <x:mergeCell ref="A27:F27"/>
    <x:mergeCell ref="A34:F34"/>
    <x:mergeCell ref="A35:F35"/>
  </x:mergeCells>
  <x:pageMargins left="0.7" right="0.7" top="0.75" bottom="0.75" header="0.3" footer="0.3"/>
</x:worksheet>
</file>